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g_a\Desktop\"/>
    </mc:Choice>
  </mc:AlternateContent>
  <xr:revisionPtr revIDLastSave="0" documentId="11_3FD2A10FFB915C53DE74D1B40F5C18E5FE588545" xr6:coauthVersionLast="47" xr6:coauthVersionMax="47" xr10:uidLastSave="{00000000-0000-0000-0000-000000000000}"/>
  <bookViews>
    <workbookView xWindow="-120" yWindow="-120" windowWidth="29040" windowHeight="15720" tabRatio="500" activeTab="1" xr2:uid="{00000000-000D-0000-FFFF-FFFF00000000}"/>
  </bookViews>
  <sheets>
    <sheet name="Instructions" sheetId="1" r:id="rId1"/>
    <sheet name="Review" sheetId="2" r:id="rId2"/>
    <sheet name="Lists"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1" l="1"/>
  <c r="B23" i="1"/>
  <c r="B22" i="1"/>
  <c r="B21" i="1"/>
</calcChain>
</file>

<file path=xl/sharedStrings.xml><?xml version="1.0" encoding="utf-8"?>
<sst xmlns="http://schemas.openxmlformats.org/spreadsheetml/2006/main" count="1237" uniqueCount="465">
  <si>
    <t>How to fill in this sheet</t>
  </si>
  <si>
    <t>Go to the Review tab. For each complaint, read the text and the problem the pipeline assigned to it.</t>
  </si>
  <si>
    <t>Fill in only the yellow columns: Verdict (required), Better fit and Note (optional).</t>
  </si>
  <si>
    <t>Verdict</t>
  </si>
  <si>
    <t>Correct: the assigned problem describes the main failure in the complaint.</t>
  </si>
  <si>
    <t>Partly: right system but a different symptom, or the complaint has several issues and this is one of them.</t>
  </si>
  <si>
    <t>Wrong: the complaint is about something else.</t>
  </si>
  <si>
    <t>Better fit: if not Correct, pick the problem that fits better, or 'None of the list'.</t>
  </si>
  <si>
    <t>Judge the text only. Don't look anything up; about 15 seconds per row is enough.</t>
  </si>
  <si>
    <t>When done, save the file and run: python step6_accuracy_score.py</t>
  </si>
  <si>
    <t>Example (not part of the sample)</t>
  </si>
  <si>
    <t>Complaint: while driving at highway speed the steering wheel became very hard to turn and a message said steering assist fault, service required.</t>
  </si>
  <si>
    <t>Assigned problem: Power steering assist fails while driving</t>
  </si>
  <si>
    <t>Verdict: Correct</t>
  </si>
  <si>
    <t>Progress</t>
  </si>
  <si>
    <t>Reviewed</t>
  </si>
  <si>
    <t>Correct</t>
  </si>
  <si>
    <t>Partly</t>
  </si>
  <si>
    <t>Wrong</t>
  </si>
  <si>
    <t>#</t>
  </si>
  <si>
    <t>Model</t>
  </si>
  <si>
    <t>Year</t>
  </si>
  <si>
    <t>Complaint text</t>
  </si>
  <si>
    <t>Assigned problem</t>
  </si>
  <si>
    <t>Problem description</t>
  </si>
  <si>
    <t>Better fit</t>
  </si>
  <si>
    <t>Note</t>
  </si>
  <si>
    <t>MAVERICK</t>
  </si>
  <si>
    <t>Daughter is , driving the vehicle to Breakfast, got two blocks away and tried to stop for a traffic light, you can hear on the dash cam when airbags deployed the collision operator came on the line and daughter saying, "I tried to stop but the brakes didn't work", the dash cam has sound and showed she was going 23 mph when accident happened. She T boned a car in the intersection. When the the vehicle was taken to collision body shop, the estimator said, this is the second the vehicle, the First one "Rear Ended another vehicle". I don't trust this vehicle even if the body is repaired. Files Docs and Photos will not upload.</t>
  </si>
  <si>
    <t>Airbags fail to deploy or inflate</t>
  </si>
  <si>
    <t>Owners report airbags failing to deploy, deploying partially, or inflating incorrectly during collisions.</t>
  </si>
  <si>
    <t>None of the list</t>
  </si>
  <si>
    <t>Brakes did not stop the truck and it crashed; the airbags deployed normally. No general brake failure item.</t>
  </si>
  <si>
    <t>EXPLORER</t>
  </si>
  <si>
    <t>Vehicle accelerates rapidly at low speeds when attempting to slightly accelerate in slow speed area such as in parking lots. Transmission chugs shifts hard when trying to maintain speeds below 50 MPH. Transmission was rebuilt by dealer under warranty but same problem still exists. Dangerous and happens often.</t>
  </si>
  <si>
    <t>Transmission unexpectedly downshifts</t>
  </si>
  <si>
    <t>Owners experience sudden, unexpected downshifting to first gear while driving at highway speeds.</t>
  </si>
  <si>
    <t>Transmission slips, shifts hard or fails</t>
  </si>
  <si>
    <t>Hard shifts and surging below 50 mph, not a sudden highway downshift.</t>
  </si>
  <si>
    <t>F-250 SD</t>
  </si>
  <si>
    <t>Experienced the so called “death wobble”.</t>
  </si>
  <si>
    <t>Violent front-end shaking after bumps (death wobble)</t>
  </si>
  <si>
    <t>Owners experience uncontrollable shaking of the steering wheel and front end when hitting road bumps.</t>
  </si>
  <si>
    <t>TAURUS</t>
  </si>
  <si>
    <t>while driving 45 MPH, the vehicle lost power and stalled. I was able to coast to the side of the road. I was able to have the vehicle taken to an independent mechanic to be diagnosed. I was told that the water pump was faulty and that the timing chain was fractured. Mechanics stated that the water pump fails often with these the vehicle. Some have to be replaced if found in time. Others like the consumer's give little to no warning and break. The interference engine causes a lot of valve and possible piston damage with the engine.</t>
  </si>
  <si>
    <t>Engine stalls while driving</t>
  </si>
  <si>
    <t>Owners report the vehicle stalls unexpectedly while driving and fails to restart.</t>
  </si>
  <si>
    <t>Internal water pump leaks coolant</t>
  </si>
  <si>
    <t>Stall was caused by internal water pump and timing chain failure.</t>
  </si>
  <si>
    <t>EXPEDITION</t>
  </si>
  <si>
    <t>Daily the automatic transmission will erratically and forcefully downshift at highway speed. When changing Driving Modes the transmission display on the dash has numbers disappear and the transmission downshifts with great force which has lead to injuries. After sitting for more than a few hours the transmission will not go into reverse at first but will then violently shift into reverse after several minutes. These issues began not long after we purchased this vehicle new. The service manager at the dealership the vehicle was purchased from when I told him about these problems told me that I don’t understand how a 10 speed transmission works. Sometimes the driver’s seatbelt will not buckle.</t>
  </si>
  <si>
    <t>F-150</t>
  </si>
  <si>
    <t>REAR CAMERA IMAGE ON MIRROR TURNS BLUE AND CAN'T SEE ANYTHING</t>
  </si>
  <si>
    <t>Backup camera image blank, distorted or flipped</t>
  </si>
  <si>
    <t>Owners report the rear view camera displaying a blank screen or malfunctioning during reverse.</t>
  </si>
  <si>
    <t>FUSION</t>
  </si>
  <si>
    <t>Power steering column just stopped working in the middle of driving and I made it home okay but the next day it barely even could move and a bunch of lights came up on the dash and they wouldn’t stop going off whenever I start the car</t>
  </si>
  <si>
    <t>Power steering assist fails while driving</t>
  </si>
  <si>
    <t>Owners experience sudden loss of power steering assistance and dashboard fault warnings.</t>
  </si>
  <si>
    <t>WITH ABSOLUTELY NO PREVIOUS ISSUES, THE CAR STARTED OVERHEATING WHILE DRIVING ON THE HIGHWAY. I WAS ABLE TO MAKE IT HOME AFTER TURNING ON THE HEAT (ON A 90 DEGREE DAY) AND RIDING IT OUT. IT TURNED OUT MY CAR WAS OUT OF COOLANT, WHICH WAS ODD. WE FILLED IT AND MY CHECK ENGINE LIGHT CAME ON, THEN MY CAR SAT FOR ABOUT A WEEK, THE BATTERY WAS DEAD AND WHEN IT WAS JUMPED EVERY WARNING CAME UP ON MY DASH AND MY ENGINE WAS IN LIMP MODE. TURNS OUT MY CYLINDER CRACKED AND COOLANT WAS FLOODING MY ENGINE. AFTER SOME RESEARCH, IT TURNS OUT IT'S A COMMON PROBLEM WITH THE MODEL'S ENGINE AND FORD HASN'T DONE ANYTHING TO REMEDY IT.</t>
  </si>
  <si>
    <t>Coolant leaks into cylinders, engine needs replacing</t>
  </si>
  <si>
    <t>Owners report coolant leaking into the engine block causing overheating and engine failure.</t>
  </si>
  <si>
    <t>Driving back from tri cities and when we were on I5 the transmission abruptly shifted down and went to a very high RPM. Was able to limp off the freeway by UW, and then drove home slowly. Had it trailered by the dealership i had just bought it from and they brought it to a shop where they said the transmission needed replaced.</t>
  </si>
  <si>
    <t>Owners experience harsh shifting, jerking, and sudden loss of power while driving.</t>
  </si>
  <si>
    <t>Abrupt downshift at freeway speed, then transmission failed; unexpected downshift also fits.</t>
  </si>
  <si>
    <t>ESCAPE</t>
  </si>
  <si>
    <t>The transmission had to be replaced in 2024 and now the engine needs to be replaced in 2026. Ford customer service will not help with any of the repairs.</t>
  </si>
  <si>
    <t>Two failures: transmission in 2024 and engine in 2026, no cause given for the engine.</t>
  </si>
  <si>
    <t>BRONCO SPORT</t>
  </si>
  <si>
    <t>I received notification of recall (Fuel System, Gasoline); however, the part to do the recall repair was not yet available. the manufacturer had exceeded a reasonable amount of time for the recall repair.</t>
  </si>
  <si>
    <t>Recall parts unavailable: fuel system</t>
  </si>
  <si>
    <t>Owners received recall notifications but could not get replacement parts.</t>
  </si>
  <si>
    <t>FOCUS</t>
  </si>
  <si>
    <t>On Monday March 27th 2023 at about 7:00 pm I was leaving the parking garage where I work in Rosslyn, VA: I started the car as usual and notice that I couldn't put the car in Reverse using the clutch (it's an automatic the vehicle 2013): Luckily, the parking garage was empty on the level where I was parked, and I pushed the car back and forth to be able to keep the car in "Drive" mode so that I could drive the car out of the garage. I did that and I started to drive to go home. I started to notice that I couldn't accelerate the car and at about 20 min into driving I started to get a signal on the dash board that said: “TRANS OVERHEATING”, and I was getting the signal to stop the car to cool off before driving it again. I had to do this several time (at least 6 times) while I was driving home to MD. The car was NOT SAFE to drive I barely made it home and the next morning on Tuesday March 28th I drove the car to the Ford Dealer "Academy Ford" in Laurel MD, having the same issue and emergency signal on the dash board. This is the SECOND TIME that this issue has presented itself: in 2019 the Car had the same problem, and at the time, because the car was under extended warranty, Ford replaced the part at no cost. I took the car at the same Ford Dealer in 2019. (see paper attached) This time the Dealer said that I would have to pay for the COST OF THE REPAIR, which I provided with the QUOTE from the Dealer in attachment. I was advised to contact directly "Ford Costumer Service" to see if they would provide Financial Assistance and Reimbursement for the Car Rental that I had to get because I didn't have a car and I work in VA every day (the cost is provided in attachment). Ford Costumer Service opened a case but denied ANY FINANCIAL HELP and Assistance for the Car and for the Rental because THERE ARE NOT CURRENTLY ANY RECALLS of this nature ON THE the vehicle 2013. I need to open a CASE &amp; A RECALL for this PROBLEM for the the vehicle 2013. Thank you.</t>
  </si>
  <si>
    <t>Vehicle hesitates or loses power when accelerating</t>
  </si>
  <si>
    <t>Vehicle hesitates, stalls, or revs without moving when the accelerator is pressed.</t>
  </si>
  <si>
    <t>No reverse and transmission overheating warning; the loss of acceleration comes from the transmission.</t>
  </si>
  <si>
    <t>RANGER</t>
  </si>
  <si>
    <t>When driving truck especially in rolling traffic truck has hard time downshifting and clunky and lunches as transmition tries to figure what gear to be in. It is an intermittently happening but now evolved to completely dropping out of gear goes into neutral were you can rev engine without truck moving foward. This has only happened twice both time as I was slowing down to make a turn and the trying to Accelerate after turn truck would go limp. Dealer could not replicate issues and could not find any issues advised to return is issue consistent</t>
  </si>
  <si>
    <t>Clunky shifts and dropping into neutral at low speed, not a highway downshift.</t>
  </si>
  <si>
    <t>Have contacted 2 different Ford dealers starting from November 2024, when I bought the truck, to get this recall repaired. Dealers tell me they'll order the parts and get back to me, but never call me back. When I call them they tell me there's nothing they can do. This recall was issued in August of 2023. I've recieved 4 different recall letters since November of 2024 for different probmems related to my truck. It's been 2 years that have gone by with no remedy to repair this recall of the axle bolts breaking...I guess they're waiting until I'm in an accident and sue them before they'll do anything....This is BS...!</t>
  </si>
  <si>
    <t>Rear axle bolt shears off</t>
  </si>
  <si>
    <t>Owners report rear axle bolts breaking while driving without warning.</t>
  </si>
  <si>
    <t>Recall parts unavailable: power train</t>
  </si>
  <si>
    <t>About the axle bolt recall never being done because parts never came, no failure reported.</t>
  </si>
  <si>
    <t>While operating the vehicle, a loud clunk occurred, followed by a grinding noise. I stopped the vehicle immediately. Upon exiting, I observed the rear driver‑side tire positioned at an abnormal angle. Inspection underneath the vehicle revealed a fractured rear control arm. This failure is consistent with recall recall, which applies to the vehicle manufactured between 6/25/21 and 7/6/22. My vehicle’s build date is July 2022, which falls within the affected production window. The damage is clearly consequential to the control arm failure.</t>
  </si>
  <si>
    <t>Rear suspension toe link fractures</t>
  </si>
  <si>
    <t>Owner reports a fractured rear control arm, not a sheared axle bolt.</t>
  </si>
  <si>
    <t>MKZ</t>
  </si>
  <si>
    <t>BRAKE PEDAL WENT ALL THE WAY AND TOUCH BODY. IT HAPPENED TWICE IN TWO MONTHS AND 2ND TIME RESULTED IN TO CAR WRECK ON 5 MILES PER HOUR SPEED. IT IS VERY DISAPPOINTING LINCOLN SEEMS TO KNOW ABOUT THE ISSUE BUT TOOK A LONG TIME TO COVER WITH REMEDY. * (RECALL RELATED INCIDENT) TS</t>
  </si>
  <si>
    <t>Brake pedal sinks to floor, brake fluid leak</t>
  </si>
  <si>
    <t>Owners report brake pedals going to the floorboard with warning lights and empty reservoirs.</t>
  </si>
  <si>
    <t>Dislodged Door Check NHTSA Action #PE23013 All 6 rivets broke off when the wind caught the door. The door was uncontrolled by opening it and would fly open and stress the hinges. The door check fell into the door therefore I couldn't open my window. I had a body shop repair the problem for $1476.12. I was unaware of the service bulletin. There was no recall. It was not inspected by authorities. No warning lamps were available for this problem. I did have my Ford dealership inspect it after the repair on May 21, 2025</t>
  </si>
  <si>
    <t>Driver door spot welds fracture</t>
  </si>
  <si>
    <t>Owners report abnormal popping noises and doors failing to close securely due to fractured spot welds.</t>
  </si>
  <si>
    <t>Door check rivets broke and the door swings open uncontrolled; not spot welds.</t>
  </si>
  <si>
    <t>Driving through a mile-long tunnel on an interstate highway (speed limit 55 mph), the vehicle ceased to respond to the gas pedal and would not accelerate or maintain speed. Attempted to shift gears but that produced no change - it was as if the transmission was stuck in neutral, but pushing the gas pedal did not increase the rpm. As we exited the tunnel at approximately 30 mph, the driver attempted to pull over and stop the vehicle, and found that the power assist for the brakes was not working, making stopping difficult - the driver had to push the brakes very hard, multiple times, to stop the car. We did contact 911 dispatch when we thought we were going to likely impede traffic, as the tunnel only had two lanes traveling the same direction. However, no intervention was required as we reached the end of the tunnel and were able to pull over before the call was completed. The vehicle was towed to a dealership and they diagnosed a fuel pump and/or fuel pump module problem, but have ceased to respond to our calls for the past 48 hours, so we have no further information. The check engine light turned on when the car was restarted, but then later turned off, without any repair work having been completed.</t>
  </si>
  <si>
    <t>Loss of power in a tunnel; dealer suspected the fuel pump.</t>
  </si>
  <si>
    <t>EXPLORER SPORT</t>
  </si>
  <si>
    <t>WAS CLOSING BACK HATCH AND GLASS WINDOW LITERALLY EXPLODED! VEHICLE WAS PARKED IN MY YARD.</t>
  </si>
  <si>
    <t>Rear window glass shatters spontaneously</t>
  </si>
  <si>
    <t>Owners report rear windows shattering while driving or parked with the defroster on.</t>
  </si>
  <si>
    <t>WINDSTAR</t>
  </si>
  <si>
    <t>THE REAR AXLE OR METAL BRACKETS ON MY VEHICLE SNAPPED WHILE I BRAKED FOR ANOTHER VEHICLE APPROACHING. I HAD THE METAL ON MY AXLE WELDED TO FIX THE PROBLEM TEMPORARILY THAT IS BECAUSE IT IS CURRENTLY BROKE AGAIN. I BELIEVE THERE IS A RECALL FOR THIS SPECIFIC PROBLEM.</t>
  </si>
  <si>
    <t>Rear axle or bracket snapped, not a bolt; closest item in the list.</t>
  </si>
  <si>
    <t>During standard driving in column traffic the transmission went from 6th gear to 1st gear while traveling at 65mph. Later the speedometer went dead and did not respond to speed changes both the transmission and speedometer reset after restart. Speed and control were lost during the gear shift. The week prior to this event occurring an upgrade to the computer software for unplanned transmission downshift, that was meant to prevent this from happening. The transmission has lost the speedometer and power on several occasions since the initial event. Which I have recorded and pictures. The component has been inspected by a manufacturer, and determine that the Lead Frame was the most probable cause. This event had never occurred prior to the software recall was performed. The service technician indicated that this was a known issue and that Ford had extended a warranty on the lead frame indicating it was a known problem. There was no indication of a problem until the even occur and it did not originally cause an OBDII code. Subsquent events did trip a P0720 Code being the output speed sensor fault.</t>
  </si>
  <si>
    <t>Transmission lead frame causes violent downshift</t>
  </si>
  <si>
    <t>Vehicle suddenly downshifts to low gear at highway speeds causing loss of control.</t>
  </si>
  <si>
    <t>F-350 SD</t>
  </si>
  <si>
    <t>while driving 70 MPH, the "Engine Power Reduced" message was displayed and the vehicle downshifted while running very rough before the vehicle stalled. I coasted to the side of the road and had the vehicle towed to the dealer. The dealer diagnosed the vehicle and determined that the high-pressure fuel pump had failed and caused metal fragments to enter the fuel system. I was told that the high-pressure fuel system needed to be replaced. The vehicle had not been repaired.</t>
  </si>
  <si>
    <t>High pressure fuel pump fails catastrophically</t>
  </si>
  <si>
    <t>Stall was caused by the high pressure fuel pump failing.</t>
  </si>
  <si>
    <t>EDGE</t>
  </si>
  <si>
    <t>Takata recall. I received notification of recall (Air Bags) however, the part to do the recall repair was unavailable. the manufacturer had exceeded a reasonable amount of time for the recall repair.</t>
  </si>
  <si>
    <t>Recall parts unavailable: backup camera</t>
  </si>
  <si>
    <t>Owners received recall notifications but could not access replacement parts.</t>
  </si>
  <si>
    <t>Recall repair delayed or ineffective</t>
  </si>
  <si>
    <t>Right complaint type (recall parts unavailable) but it is the Takata airbag recall, not the backup camera.</t>
  </si>
  <si>
    <t>the door latch failed to lock securely. While driving at undisclosed speeds, my son almost fell out of the vehicle, but I was able to grab him by the coat. The door ajar message was displayed. Additionally, the TPMS warning light came on. I took the vehicle to the local dealer, where it was repaired under recall (Latches/Locks/Linkages). However, the failure reoccurred. I took the vehicle to another dealer, Ourisman Ford of Alexandria Service (6129 Richmond Hwy, Alexandria, VA 22303); but was not diagnosed or repaired.</t>
  </si>
  <si>
    <t>Door latch fails, door does not stay closed</t>
  </si>
  <si>
    <t>Owners report doors failing to latch securely or opening unexpectedly while driving.</t>
  </si>
  <si>
    <t>I WAS PULLING OUT OF MY DRIVE WAY TO LEAVE MY HOUSE AND NOTICED A GRINDING SOUND COMING FROM THE FRONT END, IT WAS VERY LOUD, AND CAUSED ME TO HAVE LOSS OF CONTROL OVER THE CARS STEERING; ESPECIALLY WHEN TURNING WHEEL LEFT AND RIGHT AT LOWER SPEEDS AND ON SHARP TURNS. (THE WHEELS DO NOT STRAIGHTEN OUT OR RETURN TO CENTER WHEN EXITING A TURN AND WILL THEN OVER COMPENSATE AND VEER TO THE RIGHT AFTER HAVING TO MANUALLY TURN THE WHEEL BACK.</t>
  </si>
  <si>
    <t>Steering rack pinion fails</t>
  </si>
  <si>
    <t>Owners report stiff steering, popping noises, and loss of power assist during turns.</t>
  </si>
  <si>
    <t>while driving 55 MPH, the speedometer suddenly went to 0, and the vehicle failed to shift gears as needed. the failure persisted. I took the vehicle to an independent mechanic where it was diagnosed and determined that the lead frame was deformed and needed to be replaced.</t>
  </si>
  <si>
    <t>I own a the vehicle and with 100,000 miles the transmission give up and start skipping this transmission very expensive on the ford cars therefore, no longer purchase another Ford The repair was $5000</t>
  </si>
  <si>
    <t>WHEN DRIVING ON THE HIGHWAY AND MY VEHICLE REACHES 50MPH, I EXPERIENCE HESITATION AND/OR A PUTTING SENSATION THAT CONTINUES UNTIL I ACCELERATE TO 60MPH OR DROP TO 49MPH OR BELOW. WHEN I TOOK THE VEHICLE TO KOONS FORD OF BALTIMORE FOR SERVICE, THEY DETERMINED THAT THE PROBLEM STEMS FROM THE FACT THAT OIL HAS BEEN SEEPING INTO MY AIR INTAKE SYSTEM AND SATURATING MY AIR FILTER. I WAS TOLD THAT IT IS DUE TO THE DESIGN FLAW ON THE FACTORY INSTALLED VALVE COVER GASKET. I LEARNED THAT THE ISSUE OCCURS ON SEVERAL FORD VEHICLES INCLUDING 2011-the vehicle AS THE DEFECTIVE VALVE COVER WAS USED ON THOSE MODELS AT THE TIME THE VEHICLES WERE MANUFACTURED. IN ORDER TO CORRECT THE PROBLEM I WOULD NEED TO HAVE THE EXISTING VALVE COVER REPLACED WITH A NEWLY DESIGNED VALVE COVER THAT WAS SPECIFICALLY CREATED TO RESOLVE THE OIL LEAKAGE/OIL SEEPAGE ISSUE. MY AFTERMARKET WARRANTY WILL NOT COVER THE REPAIRS AS THEY DEFINE THE REPLACEMENT PART AS "BETTERMENT" TO THE VEHICLE OR INSTALLATION OF AN UPGRADED PART. ACCORDING TO THE SERVICE ADVISOR AT KOONS, THE VALVE COVER INSTALLED WHEN THE VEHICLE WAS MANUFACTURED IS OBSOLETE AND WOULD NOT RESOLVE THE ISSUE EVEN IF IT WERE STILL AVAILABLE. I MUST HAVE THE NEWLY DESIGNED VALVE COVER INSTALLED IN ORDER TO PREVENT FURTHER DAMAGE, STOP THE OIL FROM SEEPING IN AND AROUND THE AIR INTAKE SYSTEM AND THROTTLE BODY AND TO ALSO PREVENT CONTAMINATION OF THE MASS AIRFLOW SENSOR. THE COST FOR THE REPAIRS IS APPROXIMATELY $700. I CONTACTED THE FORD CORPORATE OFFICE AND LEARNED THAT THEY COULDN'T OR WOULDN'T BE OF ANY ASSISTANCE. THE CUSTOMER SERVICE REPRESENTATIVE AT THE CORPORATE HEADQUARTERS ADVISED ME TO FILE A COMPLAINT WITH NHTSA.</t>
  </si>
  <si>
    <t>Oil pan leaks and requires replacement</t>
  </si>
  <si>
    <t>Owners report oil leaking from the pan despite multiple repairs.</t>
  </si>
  <si>
    <t>Hesitation at 50 mph from oil seeping into the intake via the valve cover; no oil pan leak.</t>
  </si>
  <si>
    <t>FLEX</t>
  </si>
  <si>
    <t>while driving 35 MPH, THE POWER STEERING FAULT MESSAGE DISPLAYED ON THE INSTRUMENT PANEL AND THE STEERING WHEEL BECAME DIFFICULT TO TURN IN EITHER DIRECTION. THE VEHICLE WAS TOWED TO THE LOCAL DEALER WALNUT CREEK FORD LOCATED AT 1800 N MAIN ST, WALNUT CREEK, CA 94596 who found THE POWER STEERING RACK WAS FAULTY AND NEEDED TO BE REPLACED. I was told THAT THE VIN WAS NOT INCLUDED IN recall (STEERING). I INDICATED THAT THE VEHICLE HAD EXPERIENCED THE SAME FAILURE LISTED IN THE RECALL.</t>
  </si>
  <si>
    <t>FUSION HYBRID</t>
  </si>
  <si>
    <t>after reversing the vehicle, the gear shifter failed to shift into drive. several unknown warning lights came on. I called roadside assistance. The tow truck driver arrived and repaired the vehicle.</t>
  </si>
  <si>
    <t>Gear shifter cable bushing detaches</t>
  </si>
  <si>
    <t>Owners report the shifter cable bushing detaching, causing unintended gear shifts and vehicle movement.</t>
  </si>
  <si>
    <t>while the vehicle was parked and fastening the seat belt, the seat belt failed to retract as needed. The failure occurred with front driver’s and passenger’s sides seat belts. I took the vehicle to a dealer where they found the retracting mechanism had failed and needed to be replaced.</t>
  </si>
  <si>
    <t>Seat belt retractors fail to extend</t>
  </si>
  <si>
    <t>Owners report seat belts failing to retract properly, preventing safe occupant securing.</t>
  </si>
  <si>
    <t>the rearview camera intermittently displayed a distorted or blank image while the transmission was shifted into reverse(R). the failure prevented the driver from safely operating the vehicle. The dealer and the manufacturer were notified of the failure and informed I that there were no recalls on the VIN. The failure mileage was approximately 200,000</t>
  </si>
  <si>
    <t>WHILE ACCELERATING AND ENTERING AN INTERSTATE, I DROVE OVER A ROUGH SECTION OF ASPHALT WHILE MERGING INTO THE DRIVING LANE, WHICH RESULTED IN MY STEERING WHEEL AND FRONT SUSPENSION VIBRATING AND SHAKING IN A VIOLENT AND DANGEROUS MANNER. I HAD TO IMMEDIATELY DEACCELERATE AND PULL OFF TOWARDS THE SHOULDER IN ORDER TO GET IT TO STOP. RESEARCHING FORUMS AND I LEARNED THAT IS BEING REFERRED TO AS A "DEATH WOBBLE".</t>
  </si>
  <si>
    <t>During the scheduled oil change service on 8/15/2024, I was told that wheel lug nuts were swollen and tire rotation and inspection were not completed, even though I paid for a maintenance package. I replaced the lug nut two years ago for the same issue, and this will be my 3rd time replacing lug nuts on the vehicle.</t>
  </si>
  <si>
    <t>Lug nuts swell and fail to remove</t>
  </si>
  <si>
    <t>Owners report swollen lug nuts preventing tire rotation and requiring costly replacement.</t>
  </si>
  <si>
    <t>my girlfriend owns a the vehicle. while his girlfriend was reversing, the front wheels seized, and the vehicle was shaking. The vehicle then lost power. The check engine warning light came on. The vehicle was towed to an independent mechanic, who determined that there was coolant intrusion into the engine and that the engine needed to be replaced.</t>
  </si>
  <si>
    <t>Engine coolant leak. Come to find out it is the internal water pump, which several mechanics stated is a "common motor design flaw" with these vehicles. The repair for this is $3500! Not a small amount for a average person with low income. If Ford is aware of this common issue, why is nothing being done to protect their customers like me. I'd like to hear from someone in regards to this, as I have always been a loyal Ford consumer, but this will change after this.</t>
  </si>
  <si>
    <t>External coolant leak from the internal water pump, no coolant in cylinders mentioned.</t>
  </si>
  <si>
    <t>WHILE HER HUSBAND WAS DRIVING 70 MPH, THE VEHICLE EXPERIENCED THE "DEATH WOBBLE". THE VEHICLE WAS PARKED FOR FIFTEEN MINUTES BEFORE PROCEEDING TO THE DESTINATION. ADDITIONALLY, ON OCCASIONS WHILE ATTEMPTING TO START THE VEHICLE, THE KEY WAS PLACED IN THE IGNITION AND SEVERAL UNKNOWN WARNING LIGHTS came on AND THE FAILED TO START. THE VEHICLE WAS TAKEN TWICE TO BANNER FORD LOCATED AT (1943 N CAUSEWAY BLVD, MANDEVILLE, LA 70471) TO BE DIAGNOSED. I was told THAT STEERING DAMPER NEEDED TO BE REPLACED.</t>
  </si>
  <si>
    <t>Computer screen does not work all the time, and the backup camera does not work, and when it does, it will stay on while moving forward. The computer screen freezes up and will not allow me to adjust the temperature or the radio and other options that are normally on the screen.</t>
  </si>
  <si>
    <t>APIM module causes screen and infotainment failure</t>
  </si>
  <si>
    <t>Main failure is the frozen centre screen; the camera issue is a side effect.</t>
  </si>
  <si>
    <t>while driving 10 MPH, the transmission was chattering. I felt that the clutch was slipping and the vehicle was hesitating while driving. the vehicle hesitation and transmission chatter stopped while exceeding 30 MPH. I had driven the vehicle to a local dealer, where it was diagnosed and determined that the clutch assembly and two actuators needed to be replaced. The vehicle had not been repaired. The manufacturer had been informed of the failure.</t>
  </si>
  <si>
    <t>Clutch chatter and slipping; clutch shudder item also fits.</t>
  </si>
  <si>
    <t>GRAND MARQUIS</t>
  </si>
  <si>
    <t>Almost had accidents because lights failed, headlights and taillights failed at night, including dash lights today, creating safety hazard. Seat tilt failed, and body mount frame bushing failed. Mirror tilt switch failed. Fuel filler neck leaks when filled. Very scary especially at night. Please recall and fix before we get hurt.</t>
  </si>
  <si>
    <t>Headlight assembly delaminates and fails</t>
  </si>
  <si>
    <t>Owners report headlights failing to illuminate, dimming, or developing dark spots due to cracks and condensation.</t>
  </si>
  <si>
    <t>Head, tail and dash lights all fail (electrical), not lens delamination; many other issues listed.</t>
  </si>
  <si>
    <t>Noisy engine when starting up, told by dealership this is known problem that Ford took care of until 2023. I was told needs to be fixed for catastrophic engine failure could occur. The repair is about $5000. This is my sons truck he bought in August, and I am concerned that it is not safe to drive. A truck should last more than 100000 miles. It also has a known transmission problem that could also be a safety concern. I have not had that properly diagnosed but was told by dealership that it is a common problem. That repair is estimated around $3500. I am fairly certain Ford has lost a customer.</t>
  </si>
  <si>
    <t>Cam phasers fail causing rattling sound</t>
  </si>
  <si>
    <t>Owners hear an abnormal engine rattling sound when starting the vehicle due to failed cam phasers.</t>
  </si>
  <si>
    <t>ECOSPORT</t>
  </si>
  <si>
    <t>I have 37,000 miles on my car. I noticed the car was getting extremely loud when accelerating. Upon looking for recalls, I did see several mentions that people have reported issues with the flex pipe but did not see an official recall. I was confident that the issue was within the exhaust system. Unfortunately, a Ford dealership could not look at the problem for another two months so I took it to an independent dealership who validated that the flex pipe was rusted / busted. In addition they advised that the rear differential is also leaking fluid. For only having 37,000 miles on a car and having this kind of issues and not having an accident that would have created these issues and seeing others report the same problems I think this needs to be looked into.</t>
  </si>
  <si>
    <t>Flex plate cracks and rattles</t>
  </si>
  <si>
    <t>Owners report loud rattling noises caused by a cracked flex plate with no prior warnings.</t>
  </si>
  <si>
    <t>Rusted exhaust flex pipe, not the flex plate.</t>
  </si>
  <si>
    <t>I received notification of recall (Structure); however, the part to do the recall repair was not yet available. the front driver's side windshield exterior A-pillar trim had detached. I took the vehicle to the dealer, where it was inspected. the manufacturer had exceeded a reasonable amount of time for the recall repair.</t>
  </si>
  <si>
    <t>A-pillar trim detaches from windshield</t>
  </si>
  <si>
    <t>Owners report A-pillar trims detaching while driving and unavailable recall parts.</t>
  </si>
  <si>
    <t>I received notification of recall (Structure); however, the part to do the recall repair was not yet available. while driving 70 MPH on two occasions, the driver's side and passenger's side windshield exterior A-Pillar trims separated and flew off the vehicle. An unknown local dealer was contacted. the manufacturer had exceeded a reasonable amount of time for the recall repair.</t>
  </si>
  <si>
    <t>NAVIGATOR</t>
  </si>
  <si>
    <t>WHILE STOPPED AT A STOP SIGN AND ATTEMPTING TO MOVE FORWARD, THE ACCELERATOR PEDAL WAS DEPRESSED HOWEVER, THE VEHICLE HESITATED. THE CHECK ENGINE WARNING LIGHT THEN came on. I ALSO STATED THAT WHILE ATTEMPTING TO PARK THE VEHICLE ON ANOTHER OCCASION THE VEHICLE STALLED. ADDITIONALLY, ON ANOTHER OCCASION while driving 30 MPH, THE ACCELERATOR WAS DEPRESSED HOWEVER, THE VEHICLE FAILED TO RESPOND. I took the vehicle to AN INDEPENDENT MECHANIC TO BE DIAGNOSED. I was told THAT THE SPARK PLUGS AND CATALYTIC CONVERTER NEEDED TO BE REPLACED. (NORTH PARK LINCOLN LOCATED AT 9207 SAN PEDRO AVENUE, SAN ANTONIO, TX 78216) WAS CONTACTED AND INFORMED OF THE FAILURE.</t>
  </si>
  <si>
    <t>F-250</t>
  </si>
  <si>
    <t>WHEN DRIVING DOWN THE ROAD STEERING WHEEL AND ENTIRE TRUCK STARTED WOBBLING VIOLENTLY. HAS DONE THIS SEVERAL TIMES. ONLY WAY TO MAKE IT STOP IS TO ALMOST COMPLETELY STOP THE TRUCK. HAS HAPPENED WHEN DRIVING LESS THAN 45MPH ON CITY STREETS AND WHEN DRIVING 65MPH ON THE HIGHWAY.</t>
  </si>
  <si>
    <t>MUSTANG</t>
  </si>
  <si>
    <t>To provide some context, I purchased my the vehicle new in 2018, and it currently has 40,000 miles on it. Approximately four weeks ago, I began experiencing a "shaking" issue when cold-starting the engine, accompanied by the check-engine light turning on. I brought my vehicle into your service department, where I was told by the service representative that the problem was related to the spark plugs. After paying $600 for what was purported to be a fix, I retrieved my car, which drove fine for about a week before the same issue recurred. The engine began shaking again, and the check-engine light reappeared. I promptly scheduled another appointment, explicitly mentioning that the problem was identical to the previous one. Upon dropping off my car, I was told that the mechanic couldn't determine the issue from the initial diagnostic. After three days without any updates, I reached out to my service representative, Jack, who then informed me that my car required an engine replacement due to a coolant leak—a problem he described as a common issue with EcoBoost engines. The cost quoted for this repair was $9,000, an amount I find exorbitant given that my car's total value is around $12,000-$13,000. My primary concern now is the nature of the engine issue. Given that this problem is apparently common with EcoBoost engines, I believe it is a manufacturing defect that should not be my financial responsibility to fix. Furthermore, during my research, I discovered recalls and class action lawsuits related to this exact issue—information that was never communicated to me by your team or at the time of purchase. Unfortunately, my vehicle is not included in these recalls. Coolant leaking into the engine will eventually make my engine overheat and potentially crack the engine. This is a manufacturing issue, and should not be my financial responsibility.</t>
  </si>
  <si>
    <t>Starting to exhibit signs of the death wobble at 46000 miles</t>
  </si>
  <si>
    <t>MAVERICK HYBRID</t>
  </si>
  <si>
    <t>5/21/2023 8:45pm Driving south on I-15 through Temecula, a “Service Vehicle Soon” warning showed up on display, I pushed “OK” to clear the message and then “Shift Sys Fault” warning showed up while the gear selector showed a flashing “D” 8:48pm (see Ford Pass app) mileage 5,286 Then “Powertrain Malfunction / Reduce Power” warning showed up and the truck started to lose speed. I put the Emergency Flashers on and started to maneuver to the right lane. The truck continued to lose power and the truck kept slowing even though I depressed the accelerator to try to increase speed and keep up with the freeway traffic so I could safely pull off the freeway onto the right shoulder. The gear selector was now flashing “P” even though we were going over 50 MPH. I turned the selector knob clockwise to try to move to “D” fearing that the transmission would self-destruct if it did engage Park. The selector did seem to change to D, still flashing, but I couldn’t say if it stayed there for sure because I was too busy avoiding traffic to get off the freeway. As I pulled onto the shoulder continuing to slow, the emergency brake engaged and the transmission shifted into Park while we were still moving at approximately 5 to 10 MPH and the truck skidded abruptly to a stop making grinding noises. The transmission would not shift out of Park and the parking brake would not release. Note: This the vehicle experienced many similar "Shift Sys Faults" errors several months ago although never while the truck was moving. Ford replaced the transmission on Dec 5, 2022 and the vehicle was operating normally until this event. Ford file CAS-38767629-B5P4Y1 9:28pm When Ford Emergency Service advised no help was coming, I turned the key on and I was able to shift the transmission to Drive and continue home. In previous events, after waiting 20-30 mins the fault would clear and the transmission and parking brake would function again. We continued home, 39 miles, without incident. Faults attached</t>
  </si>
  <si>
    <t>Electronic shift system fault, went into Park while moving; this truck has no shifter cable.</t>
  </si>
  <si>
    <t>I received notification of recall (Structure); however, the part to do the recall repair was not yet available. while driving the front driver’s side and passenger’s side A-pillar trims detached. the manufacturer had exceeded a reasonable amount of time for the recall repair.</t>
  </si>
  <si>
    <t>while driving 51 MPH, I NOTICED A BURNING ODOR ENTERING THE VEHICLE. IN ADDITION, I AND PASSENGERS HEADS WAS HITTING TOWARDS THE WINDOWS. THE REAR DRIVER SIDE TIRE WAS BENT IN AND NOTICED THAT THE AXLE WAS FRACTURED. THE VEHICLE WAS TOWED TO AN INDEPENDENT MECHANIC where they found THERE WAS HOLES AND CRACKS IN AXLE CAUSING THE AXLE TO BE FRACTURED AND NEEDED TO BE REPLACED. I CONTACTED EVANSVILLE FORD 428 N UNION RD, EVANSVILLE, WI 53536 WHERE THEY INFORMED I THAT THEY WERE AWARE OF THE HOLE AND CRACKS BUT UNABLE TO REPAIR THE VEHICLE. I MENTIONED THAT A YEAR AGO THAT THE VEHICLE WAS SERVICED UNDER recall (SUSPENSION).</t>
  </si>
  <si>
    <t>Rear axle beam cracked and holed through, not a sheared bolt; closest item in the list.</t>
  </si>
  <si>
    <t>AT HIGHWAY SPEEDS, BETWEEN 70-80, THE FRONT RIGHT WHEEL VIBRATES/SHAKES VIOLENTLY AT FIRST IT IS MINOR, BUT GET'S WORSE AND WORSE AS IT FORCES THE TIRE OUT OF BALANCE. THIS PROBLEM HAS BEEN REPORTED TO FORD MANY TIMES. THEY SAY THEY CANNOT FIND A PROBLEM. THE PROBLEM FIRST OCCURRED AT 30,387 MILES. THEY COULD NOT FIND THE PROBLEM. ANOTHER DEALERSHIP, AT 36999 MILES, REPLACED THE STEERING DAMPENER, BUT IT DID NOT FIX THE PROBLEM. THEN, THEY TORQUED THE PITMEN ARM AND DECLARED THE PROBLEM FIXED. THE PROBLEM RETURNED BUT THE DEALERSHIPS CONTINUED TO STATE IT WAS A TIRE BALANCING PROBLEM. AFTER NEW TIRES WERE PURCHASED AT 50,252 MILES, THE PROBLEM PERSISTED. AT 56,013 MILES, THE PROBLEM WAS AGAIN REPORTED TO FORD. THEY STATED THEY COULD NOT BALANCE ONE OF THE 'NEW' TIRES. I TOOK THE VEHICLE TO DISCOUNT TIRE, WHICH SOLD ME THE TIRES AND USES THE SAME BALANCING MACHINE AS FORD. THEY REPLACED THE TIRE AND BALANCED THEM AGAIN. THE TECHNICIAN AT DISCOUNT TIRE TOLD ME THAT HAD SEEN THE PROBLEM BEFORE (WHERE HE COULD NOT MAINTAIN BALANCE). THE ONLY FIX WAS TO INSTALL DUAL STEERING STABILIZERS. AFTER RESEARCHING THE INTERNET, IT WAS DISCOVERED THAT THIS ACTUALLY WAS THE FIX. AS IT TURNS OUT, TO INSTALL DUAL STABILIZERS, THE TRUCK MUST HAVE A 2" LEVELING KIT INSTALLED TO ALLOW THE BRACKET TO FIT WITHOUT HITTING THE FRAME WHEN BUMPS ARE HIT.</t>
  </si>
  <si>
    <t>CORSAIR</t>
  </si>
  <si>
    <t>the rear driver’s side liftgate bar had malfunctioned, and the spring had fractured into four pieces. I was concerned that the liftgate failed to remain open due to the failure. I took the vehicle to the local dealer, and I was told that the driver’s side liftgate bar needed to be replaced.</t>
  </si>
  <si>
    <t>Rear liftgate opens unexpectedly</t>
  </si>
  <si>
    <t>Owners report the rear liftgate opening or closing without command.</t>
  </si>
  <si>
    <t>Liftgate strut spring broke so the gate will not stay open; it does not open by itself.</t>
  </si>
  <si>
    <t>My the vehicle 2.0 Titanium has a KNOWN coolant intrusion issue where it is leaking into the engine. This began as my car shook on startup, then the check engine light would come on. Drove it a little ways, check engine turned off. Took my car into the repair shop and they looked up the stored code and it was P0301 cylinder #1 misfire detected and P0316 misfire detected on start up first 1,000 revolutions. Car seemed ok, so took it back. Happened again, 2x, check engine light on, off, then on again when I brought it back in. Same codes again. Mechanic said coolant low, removed cylinder #1 spark plug and sent camera into cylinder, found coolant leaking into cylinder. They said I need an entirely new engine, as this has been occurring a LOT with these EcoBoost vehicles. Ford had an open recall but only acknowledged a small amount of vehicles, mine not one of them, and there is currently a lawsuit against Ford because this has been happening to so many people. We are getting nowhere with Ford, they won't acknowledge the issue on the EcoBoost and now we have to come up with nearly $10k to replace an entire engine when the car isn't even worth $8k. PLEASE LOOK INTO THIS! Some people are having this issue at 50K Miles!!! This is not ok!!</t>
  </si>
  <si>
    <t>The systems that failed were the airbags, abs, and trac. The airbags would not have deployed in case of an accident. I took it to the Ford dealership and they had to replace the Restraint Control Module.</t>
  </si>
  <si>
    <t>Airbag warning light illuminates</t>
  </si>
  <si>
    <t>Owners report the airbag warning light turning on due to sensor failure or compliance issues.</t>
  </si>
  <si>
    <t>Restraint control module failed, airbag/ABS/traction systems down; warning light implied.</t>
  </si>
  <si>
    <t>while attempting to stop the vehicle, the brake pedal was depressed and extended to the floorboard. The vehicle failed to stop immediately, causing the braking distance to be extended. The cause of the failure was not yet determined. the vehicle was previously serviced, and the brake master cylinder and vacuum pump were replaced. The local dealer was not yet contacted.</t>
  </si>
  <si>
    <t>Brake booster fails to engage</t>
  </si>
  <si>
    <t>Owners report the brake pedal must be depressed fully before stopping.</t>
  </si>
  <si>
    <t>Pedal went to the floor; master cylinder history.</t>
  </si>
  <si>
    <t>Check engine light has been on and white smoke coming from exhaust and engine Been in for recall repairs several times. Steering wheel feels unstable when driving Suspension is unreliable. This is a very dangerous vehicle to be driving and needs to be recalled for these Known issues.</t>
  </si>
  <si>
    <t>Vague mix: check engine light with white exhaust smoke, unstable steering, suspension; no loss of assist described.</t>
  </si>
  <si>
    <t>THE STEERING ASSIST FAILURE HAS BEEN COMING ON FOR SEVERAL MONTHS WHEN I START MY CAR AND I CANNOT TURN THE STEERING WHEEL. I HAVE TO TURN CAR OFF AND START IT AGAIN. THERE IS A RECALL #recall FOR the vehicle BUT FORD IS TELLING ME MY the vehicle DOES NOT FALL UNDER THIS RECALL. WHY? ITS THE SAME MAKE AND MODEL. *TR</t>
  </si>
  <si>
    <t>TOWN CAR</t>
  </si>
  <si>
    <t>while operating the vehicle, the vehicle experienced rough idling. Additionally, the headlights were flickering, and the alternator failed. I took the vehicle to the local dealer who found the powertrain control module (PCM) was faulty and needed to be replaced.</t>
  </si>
  <si>
    <t>Torque converter or clutch shudder</t>
  </si>
  <si>
    <t>Owners experience severe shuddering and vibration while accelerating from a stop.</t>
  </si>
  <si>
    <t>Rough idle, flickering lights, failed alternator and PCM; no shudder.</t>
  </si>
  <si>
    <t>while driving and attempting to accelerate, he observed that the RPM increased quickly however, the vehicle failed to respond. the vehicle then started jerking. The vehicle returned to normal functionality, but the failure became a regular occurrence. I took the vehicle to the dealer, who was unable to determine the cause of the failure. The adaptive transmission was reset.</t>
  </si>
  <si>
    <t>the vehicle would intermittently hesitate upon depression of the accelerator pedal without warning while in either in the drive (D) or reverse (R). I initially took the vehicle to a dealer where she was told that there were no recalls associated with the VIN and was offered no assistance. I then took the vehicle to an independent mechanic where an extensive diagnostic test was performed and it was discovered that the torque converter had failed and needed to be replaced. Upon investigation, I discovered recall (Power Train) which she linked to the failure. The vehicle had been repaired. ADDED COMMENT: Before the complete break of the transmission, I was noticing some hesitation with changing gears and going dead from a stop. Going down a hill on coast the back of the car made a roaring sound. At these moments, the car gear shift would be slightly hard to turn to park or drive. The transmission would also seem to slip. NOTE: The actual odometer was 189293 when the issue happened and repaired. Even though this was not on the recall list, it should be added because I experienced the same issue with my transmission as the others. I have attached my invoice for the repair. Not included are the 2 prior wrecker bills from having it towed to my house, and then had it towed to Lonnie Cobb's Ford for repair, which the car sat for weeks with no repair. Third wrecker bill is included on the Repair Invoice. from Clement Automatic Transmissions. THE CONSUMER STATED BEFORE THE TRANSMISSION FAILED, THERE WAS HESISTATION WHEN SWITCHING GEARS. THE VEHICLE WOULD DIE FROM A STOP. WHEN DRIVING DOWN HILL THE VEHICLE WOULD MAKE A ROARING SOUND. THE CONSUMER BELIEVED THE VEHICLE SHOULD</t>
  </si>
  <si>
    <t>Hesitation, slipping and failed torque converter; no downshift event.</t>
  </si>
  <si>
    <t>Dashboard message "power steering assist failure - service required" appeared when vehicle was started. It worked fine the day before. We drove it to a local car repair place which advised they did not know what caused the problem and recommended we take it to Ford dealer. We drove it about 30 miles to the Ford dealer, with difficulty since there was no power steering. The dealer says it needs new steering gear (rack and pinion). The cost is about $3000.</t>
  </si>
  <si>
    <t>Truck speed went down when driving, try to seed up on the gas pedal for a few seconds didnt wana move forward. This has happend three time already, My son has a code reader thing that when he plugged it to My truck this code came up P0720. Had to park My truck at home for My worry and safety. My son took it to the Ford dealership and got it a diagnostic test done. On way over there He said the truck drove fine. The dealership test said it was Lead frame Connector. They have to change that and drain the oil of transmission and refill it again. Its almost a month My truck has been park here at home.</t>
  </si>
  <si>
    <t>Loss of speed with P0720, lead frame connector diagnosed.</t>
  </si>
  <si>
    <t>Got into the car, and started it before I put my seatbelt on the seat belt tensioner exploded on just the drivers side. Now the seatbelt will not release.</t>
  </si>
  <si>
    <t>Pretensioner fired on its own and the belt is now locked.</t>
  </si>
  <si>
    <t>while attempting to reverse, the rearview camera became inoperable. the rearview camera image was intermittently displayed with distorted lines and was unclear. I received notifications of NHTSA Campaign Numbers: recall (Back Over Prevention) and recall (Seat Belts); however, the parts to perform the recall repairs were not yet available. the manufacturer had exceeded a reasonable amount of time for the recall repairs. there had been no failure related to the seat belts.</t>
  </si>
  <si>
    <t>Recall parts unavailable: several open recalls</t>
  </si>
  <si>
    <t>Owners received NHTSA notifications but could not get parts to fix recalls.</t>
  </si>
  <si>
    <t>Camera and seat belt recall parts unavailable; backup camera recall item also fits.</t>
  </si>
  <si>
    <t>unknown vehicle needs to be jumped after every drive. i just picked up the car. only have had it for 4 days. have had to jump it twice. it has 61,000 miles on it. i have taken the battery out and in for a charge and tested and it it good was also purchased 7/22. all of the interior screens and lights come on but the start/stop button green light blinks. don't understand why there isn't a recall.</t>
  </si>
  <si>
    <t>12V battery drain, needs a jump after every drive; no camera or recall issue.</t>
  </si>
  <si>
    <t>MY the vehicle STARTS SHAKING VERY VERY BAD WHEN I HIT A SMALL BUMP ON THE FREEWAY. TO GET THE VERY SCARY WOBBLE TO STOP I NEED TO SLOW DOWN ON THE FREEWAY BETWEEN 20-30 MILES PER HOUR. THIS HAS HAPPENED OVER 50 TIMES. I'VE HAD IT HAPPEN 3 TIMES WITHIN TEN MILES BEFORE. SLOWING DOWN TO 20-30 ON THE FREEWAY HAS BEEN VERY DANGEROUS. AND I HAVE ALMOST BEEN IN A FEW ACCIDENTS BECAUSE OF IT. IT IS SO BAD AND DANGEROUS THAT I TRY NOT TO EVER HAVE ANYONE RIDE IN MY TRUCK WITH ME. MY FAMILY IS SCARED TO RIDE IT IT ANYWAYS.</t>
  </si>
  <si>
    <t>The the vehicle ST when shifting into reverse, sporadically, the backup camera presents a blue screen, preventing all visibility while attempting to drive in reverse. It appears that none of the warning signals are operational when getting close to people or objects when the camera isn't working, thus presenting a hazardous condition as all safety features do not function. Apparently, there are similar recalls on some the vehicle models but my particular vehicle is one that is not included in the previous pool of vehicles that are eligible for the recall repair.</t>
  </si>
  <si>
    <t>THEY DROVE THEIR VEHICLE TO THE STORE AND THEN BACK TO THEIR RESIDENCE. A FEW MINUTES LATER THE CONTACTS NEPHEW CAME INTO THE RESIDENCE AND STATED THEY SAW SMOKE COMING FROM THEIR VEHICLE. WHEN I WENT BACK OUTSIDE THEY SAW SMOKE AND FIRE COMING FROM UNDERNEATH THE HOOD. I WAS ABLE TO LIFT THE FRONT HOOD OF THE VEHICLE AND WITH A WATER GARDEN HOSE WAS ABLE TO EXTINGUISH THE FIRE. NO ONE WAS INJURED, THERE WAS NO FIRE DEPARTMENT REPORT FILED.</t>
  </si>
  <si>
    <t>Engine compartment catches fire</t>
  </si>
  <si>
    <t>Owners report sudden fires originating from the engine bay while driving or parked.</t>
  </si>
  <si>
    <t>while driving the A-pillar trim on the driver’s side windshield started to detach. I also stated that the B-pillar on both sides of the front doors had started to detach. I received notification of NHTSA Campaign Numbers: recall (Structure) and recall (Structure); however, the parts to do the recall repairs were not yet available. The local dealer sent a technician to the residence and the vehicle was diagnosed and it was determined that the A-pillar trim retention clips had failed and needed to be replaced. The dealer confirmed that parts for the recall repairs were not yet available. the manufacturer had exceeded a reasonable amount of time for the recall repair.</t>
  </si>
  <si>
    <t>The electric power steering went out. On the way to get my 3 month old son from daycare, I was merging onto the highway next to a semi and a warning came on letting me know there was a steering issue. After picking my son up from daycare, I started my vehicle again and it said power steering failure. I could hardly drive the vehicle and did not feel comfortable since my son was with me. I have since taken it to our local Ford dealer and the module must be replaced.</t>
  </si>
  <si>
    <t>while driving 65 MH, the transmission was slipping while downshifting and upshifting. I also stated that after starting the vehicle, the transmission seized after shifting into 4th gear, with the powertrain malfunction warning light came on. the vehicle was inoperable. The vehicle had not yet been taken to an independent mechanic or a local dealer. I became aware of Customer Satisfaction Program: 21B03 (Transmission - Number One Planetary and Ring Gear Assembly); however, the VIN was not included.</t>
  </si>
  <si>
    <t>My car is showing power steering now and I was told it was just reset in September of 2015. I did not have the car around that time so I can’t confirm that it was except for what I’m being told.</t>
  </si>
  <si>
    <t>Very short, only says power steering warning is showing.</t>
  </si>
  <si>
    <t>I WAS TRAVELING WITH MY WIFE AND 3 CHILDREN IN MY the vehicle PLATINUM. IT HAD SNOWED THE NIGHT BEFORE SO I HAD CLEANED THE WINDOWS AND TURNED ON THE DEFROSTER, INCLUDING THE REAR DEFROSTER. I WAS RUNNING THE TRUCK FOR ABOUT 15 MIN WHEN THE REAR WINDOW STARTED TO SMOKE AND A SMALL FIRE, BURNING OCCURRED BEFORE THE GLASS IN THE RUBBER SEAL (OUTSIDE). I THREW WATER ON IT WHILE MY WIFE AND KIDS (11, 9, AND 3) EVACUATED THE TRUCK. I WAS ABLE TO CONTAIN IT, BUT THE WINDOW CRACKED DURING THE BURN/FIRE DUE TO THE HEAT. MY WIFE WAS TAKING MY DAUGHTER OUT OF HER CAR SEAT AS THIS HAPPENED. WE TURNED THE TRUCK OFF AND CONTACTED THE LOCAL FORD DEALER WHO SAID THE SERVICE DEPARTMENT WAS CLOSED UNTIL MONDAY BUT TO BRING IT IN AS THERE WAS A RECALL AND THEY WERE AWARE OF SIMILAR ISSUES. I TOOK THE TRUCK IN TODAY MONDAY JANUARY 18TH AND THE SERVICE DEPARTMENT SAID THERE WAS NO RECALL OR ANYTHING THEY COULD DO. NOT ONE DID ANYONE ASK FOR THE WELFARE OF MY FAMILY NOR DID THEY PRETEND TO CARE ABOUT THE SITUATION OF ONE OF THEIR PARTS/VEHICLES CAUSING A FIRE AND POTENTIALLY INJURING OR WORSE CAUSING DEATH TO ONE OF THERE CUSTOMERS. I was told TO CONTACT CUSTOMER SERVICE WHO GAVE ME THE SAME RESPONSE. THAT MY VIN HAD NO RECALL LISTED AND THAT WOULD NOT COVER ANY REPAIRS. I DID SOME RESEARCH AND READ ON NUMEROUS FORD FORUMS ABOUT THIS ISSUE WITH 2009-2012 FORD TRUCKS. ALL WITH THE SAME EXACT BURN/FIRE LOCATION AND EXACT REAR WINDOW (FAR RIGHT) CRACKING. THIS IS CONCERNING THAT FORD IS CLEARLY AWARE OF THIS ISSUE BUT TAKES NO RESPONSIBILITY TO ATTEMPT TO CORRECT AND LOOK OUT FOR THE WELFARE OF ITS CUSTOMERS. I WOULD UNDERSTAND A MECHANICAL ISSUE AND A PART BREAKING DOWN BUT I SHOULD NOT FEAR THAT MY VEHICLE WILL CATCH ON FIRE AND CAUSE HARM TO MY FAMILY. THANKFULLY NOTHING WORSE HAPPENED TO MY FAMILY AND I BUT IT SHOULD NOT TAKE THE WORST CASE SCENARIO FOR FORD TO ASSIST WITH THIS.</t>
  </si>
  <si>
    <t>Rear defroster caught fire and the glass cracked from the heat, not spontaneous shattering.</t>
  </si>
  <si>
    <t>ESCAPE HYBRID</t>
  </si>
  <si>
    <t>Recall recall (NHTSA 23V-380). I do not feel that Ford is offering owners a safe or effective repair, leaving serious risk of injury or death. 1.7/2022. Recall recall. “Engine oil and/or fuel vapor may leak and accumulate” which “may ignite resulting in an under hood fire, and increasing the risk of injury.” 2.8/8/22. Ford Media to UPI, “IN THE EVENT OF AN ENGINE FAILURE” above issues may occur. 3.5/26/23. Recall recall acknowledges, “ENGINE COULD FAIL PREMATURELY,” leading to the above. 4.5/26/23. NHTSA Part 573 Safety Recall Report: CAUSE identified. “Isolated ENGINE MANUFACTURING ISSUES HAVE RESULTED IN 2.5L HEV/PHEV ENGINE FAILURES INVOLVING ENGINE BLOCK OR OIL PAN BREACH. Likely driving “final solution” (paragraph 7). “In the event of an ENGINE BLOCK OR OIL PAN BREACH, THE HEV/PHEV SYSTEM CONTINUES TO PROPEL THE VEHICLE ALLOWING THE CUSTOMER TO CONTINUE TO DRIVE THE VEHICLE. AS THE CUSTOMER CONTINUES TO DRIVE AFTER A BLOCK BREACH, oil and/or fuel vapor continues to be expelled and accumulates near ignition sources”. 5.2023. “recall Chronology RMISC-recall-7289,” LINKS recall recall with recall. Vehicles WHICH HAD UNDERGONE THE REPAIR SPECIFIED BY recall STILL HAD ISSUES, and Ford engineers CONFIRMED BLOCK BREACH AND CORRECT recall REPAIR. “Repair” for recall DID NOT FIX THE UNDERLYING MECHANICAL PROBLEM. 6.6/6/23. Autoblog: “Per Ford, the “manufacturing issues” include POOR MACHINING OF THE ENGINE CRANKSHAFT AND CONTAMINATION OF ENGINE BLOCK MATING SURFACES DURING ASSEMBLY.” “2.5-liter engines . . . with defects “could be ticking time bombs.” 7.5/24. “SOFTWARE is now available to REPAIR [affected vehicles].” Dealers will “update the Powertrain Control Module (PCM).” This will not fix the problem. I respectfully request NHTSA investigate and compel Ford to provide the correct and proper mechanical repairs necessary to prevent block/oil pan breach in the first place.</t>
  </si>
  <si>
    <t>Argues the recall fix (software) does not address engine block or oil pan breach and fire risk.</t>
  </si>
  <si>
    <t>while driving 35 MPH, the accelerator pedal was depressed; however, the vehicle failed to respond as needed. the vehicle started losing power and stalled with the power train failure warning light came on. I was able to restart the vehicle, but the failure persisted, and I drove the vehicle to a safe location. The vehicle was towed to the dealer where they found transmission failure. I was told that the transmission needed to be replaced. The VIN was not included.</t>
  </si>
  <si>
    <t>Loss of power and stall traced to transmission failure, transmission replaced.</t>
  </si>
  <si>
    <t>AVIATOR</t>
  </si>
  <si>
    <t>I bought the vehicle 2025 Model. After 2 weeks my car started showing all the faulty error sign. To be specific with sign I have the following sign on : BSM, Cross traffic system fault, front camera fault, pre-collision alert. Reverse camera malfunction sign. I have my other 3 friend that have the same problem. Is there a recall on 2025 model ? I am at the dealer dealing with this after going through 2 weeks of buying my car.</t>
  </si>
  <si>
    <t>Driver assist systems malfunction intermittently</t>
  </si>
  <si>
    <t>New car with BSM, cross traffic, pre-collision and camera faults; nothing about recall parts.</t>
  </si>
  <si>
    <t>while driving or starting the vehicle, the check engine warning light would unexpectedly illuminate. I also stated that the vehicle was experiencing excessive coolant consumption, which required the coolant reservoir to be refilled several times after noticing that the coolant level was consistently low. while attempting to start the vehicle, the vehicle failed to start. The vehicle was towed to the dealer, where they found coolant had leaked into the second cylinder, causing the short block to fail. I was told that the short block needed to be replaced, or the entire engine might need to be replaced.</t>
  </si>
  <si>
    <t>while her son was driving at an undisclosed speed, the brake pedal was depressed; however, the vehicle failed to stop immediately. Additionally, the ABS warning light came on. I related the failure to recall (Service Brakes, Hydraulic). I took the vehicle to an independent mechanic, who informed I that the ABS hydraulic control unit needed to be replaced.</t>
  </si>
  <si>
    <t>Failed to stop with ABS light, ABS hydraulic unit replaced; not a booster problem.</t>
  </si>
  <si>
    <t>Rear camera will go black and say contact dealer. Other times images will appear distorted or will be reversed where left and right are mixed up</t>
  </si>
  <si>
    <t>MKX</t>
  </si>
  <si>
    <t>ONLY 118,000 MILES ALL MY the vehicle AND THE TRANSMISSION IS OUT OH, I BOUGHT A LINCOLN BECAUSE I THOUGHT THEY WOULD BE A GOOD VEHICLE TO BUY JUST BECAUSE THE NAME I GUESS BUT I GUESS I WAS WRONG BECAUSE YOU SHOULD NOT HAVE A TRANSMISSION OUT AT 118000 MILES.</t>
  </si>
  <si>
    <t>The passenger side headlight assembly has a led daytime running light strip that has burnt out and is a common issue with this model car</t>
  </si>
  <si>
    <t>LED daytime running strip in the headlight assembly burnt out.</t>
  </si>
  <si>
    <t>experience coolant seeping into cylinders. Causing the engine to misfire. Ford says needs the new redesigned cylinder block at the cost of 8000. This seems to be an ongoing issue with the 4 cylinder engines with vehicles.</t>
  </si>
  <si>
    <t>WHILE DRIVING AT AN UNKNOWN SPEED, THE BRAKE PEDAL WENT TO THE FLOOR. THERE WAS NO WARNING. I took the vehicle to AN INDEPENDENT MECHANIC who found THE MASTER CYLINDER NEEDED TO BE REPLACED. I took the vehicle to THE CONWAY HEATON INC DEALER (502-348-3929, LOCATED AT 810 N 3RD ST, BARDSTOWN, KY 40004) where they found THE VEHICLE HAD NO BRAKES. THE TECHNICIAN REPLACED THE MASTER CYLINDER AND THE HYDRAULIC CONTROL UNIT.</t>
  </si>
  <si>
    <t>Pedal went to the floor, master cylinder and hydraulic unit replaced.</t>
  </si>
  <si>
    <t>while starting the vehicle, there was a rattling sound coming from the vehicle. I was unaware of a warning light being came on. On another occasion while starting the vehicle, the vehicle overheated, and the check engine warning light came on. I turned off the vehicle and waited until the vehicle cooled down, but the failure persisted. I took the vehicle to the dealer and I was told that coolant was leaking into cylinder #2, and that the engine needed to be replaced.</t>
  </si>
  <si>
    <t>In 2023 at around 90,000 miles on our the vehicle started leaking coolant into the engine cylinder. To resolve the issue, the long block needs to be replaced placing substantial financial burden on us. Ford has indicated that we do not qualify for any financial assistance and the engine replacement cost for our 5 year old car falls entirely on us.</t>
  </si>
  <si>
    <t>MILAN</t>
  </si>
  <si>
    <t>ON JANUARY 19, 2021, I WAS BACKING OUT OF A PARKING SPACE AND MY STEERING WHEEL WOULD NOT TURN. I LOOKED AT THE MESSAGE CENTER ON MY the vehicle AND THE MESSAGE SHOWED "POWER STEERING FAULT". I PULLED BACK UP INTO THE PARKING SPACE AND SHUT OFF THE VEHICLE AND WHEN I RESTARTED IT, EVERYTHING WAS OKAY. I SEE WHERE THIS IS A RECALL ON the vehicle 2011 AND AFTER. PLEASE CONSIDER RECALLING THIS ON THE 2010 MODELS AS I SEE THERE ARE LOTS OF COMPLAINTS ON THIS HAPPENING TO THE the vehicle. I'M CONCERNED ABOUT IT GOING OUT WHILE DRIVING DOWN THE ROAD AND HAVING A WRECK.</t>
  </si>
  <si>
    <t>upon turning off the vehicle, the vehicle immediately entered Deep Sleep mode. after entering Sleep Mode, the electronics in the vehicle failed to function properly. After restarting the vehicle, the vehicle returned to normal functionality, but the failure became a regular occurrence. I took the vehicle to the dealer, who was unable to duplicate the failure.</t>
  </si>
  <si>
    <t>High-voltage battery fault, vehicle will not start</t>
  </si>
  <si>
    <t>Owners report the hybrid battery draining overnight or failing completely, preventing vehicle startup.</t>
  </si>
  <si>
    <t>Truck drops into Deep Sleep mode and electronics misbehave, but it restarts fine; no HV battery failure.</t>
  </si>
  <si>
    <t>WHILE DRIVING, THE VEHICLE SUDDENLY BECAME EXTREMELY HARD TO STEER. THE DASH DISPLAYED 'POWER STEERING ASSIST FAULT'. I WAS OVER 20 MILES FROM HOME ON A VERY CURVY CANYON ROAD. IT WAS VERY DIFFICULT TO KEEP THE VEHICLE IN THE ROAD. THIS IS VERY UNSAFE THAT THIS COULD FAIL WITHOUT NOTICE. I SAW THAT SOME the vehicle HAVE RECALLS FOR THIS ISSUE BUT NOT MINE. THERE SHOULD BE A RECALL ON ALL THESE CARS IF THIS IS GOING TO BE A RECURRING ISSUE. I SAW THAT THERE WERE MANY COMPLIMENTS ABOUT THIS FROM OTHER the vehicle OWNERS. *TR</t>
  </si>
  <si>
    <t>I experienced a sudden and unexpected water pump failure on my the vehicle while driving in active traffic. The failure occurred without warning and resulted in rapid coolant loss and engine overheating, causing the vehicle to lose power while in motion. This created a hazardous driving condition and required me to pull over to avoid a potential collision. Sudden cooling system failure presents a serious safety risk, as it can lead to engine stalling, loss of power steering and braking assist, and breakdowns in traffic or at highway speeds, significantly increasing the risk of crash or injury. Additionally, other owners of the vehicle vehicles have reported similar sudden water pump failures without warning, often leading to overheating, loss of drivability, and vehicle breakdowns at relatively low mileage. These repeated incidents indicate premature component failure rather than normal wear and demonstrate a recurring safety-related defect that poses a significant risk to public safety and warrants further investigation.</t>
  </si>
  <si>
    <t>Owners report internal water pump failure causing sudden engine stall and coolant flooding.</t>
  </si>
  <si>
    <t>THE WINDSHIELD WIPER FAILED TO OPERATE WHILE DRIVING IN INCLEMENT WEATHER. NEITHER THE DEALER NOR MANUFACTURER WAS NOTIFIED OF THE FAILURE. THE APPROXIMATE FAILURE WAS 96,450.</t>
  </si>
  <si>
    <t>Windshield wiper motor fails intermittently</t>
  </si>
  <si>
    <t>Owners report wipers stopping or slowing unexpectedly during rain, causing poor visibility.</t>
  </si>
  <si>
    <t>I lost engine power trying to accelerate while entering the highway. Check Engine light flashed several times then went steady. I pulled over into the slow lane with my flashers on and with reduced power to get off the highway exit straight to the Dealer. The Check Engine light stayed on steady. This is apparently part of a known issue with the 1.5l GTDI engine. There was a Technical Service Bulletin created for it 22-2322 and a Customer Service Program fix was set up- recall</t>
  </si>
  <si>
    <t>Loss of power with flashing check engine light on the 1.5L engine.</t>
  </si>
  <si>
    <t>while driving at an unknown speed, the check engine warning light came on. Days later, the vehicle failed to start after multiple attempts. I retrieved several DTC codes on the low fuel rail pressure and a defect with the fuel rail circuit. Upon investigation, I linked the failure to recall (Fuel System, Gasoline). The dealer nor the manufacturer had been notified of the failure. The vehicle had yet to be repaired.</t>
  </si>
  <si>
    <t>Oil pump failure or low oil pressure damages engine</t>
  </si>
  <si>
    <t>Owners experience sudden low oil pressure warnings leading to catastrophic engine damage.</t>
  </si>
  <si>
    <t>Fuel pump fails causing stall</t>
  </si>
  <si>
    <t>No start with low fuel rail pressure codes, fuel system recall; nothing about oil pressure.</t>
  </si>
  <si>
    <t>Driver power seat tilts backward suddenly when accelerating or backing causing driver to lose control of the vehicle.</t>
  </si>
  <si>
    <t>Power seat suddenly tilts backward; not seat belts.</t>
  </si>
  <si>
    <t>MY WIFE, GRANDCHILD AND I DRIVING ABOUT 30 MPH IN ICY CONDITIONS AND TRUCK SHIFTS INTO 1ST GEAR AND HAD TO CONTROL VEHICAL TO COME TO STOP, I DID NOTHING WRONG ,WHILE DRIVING, THIS IS A SERIOUS SAFETY ISSUE, I DROVE THE VEHICAL THE REST OF WY ON PINS AND NEEDLES.IS THERE ANYTHING I CAN DO TO HAVE THIS PROBLEM SOLVED, THANK YOU.</t>
  </si>
  <si>
    <t>WHILE DRIVING AT SPEEDS BETWEEN 40-75 MPH, THE FRONT DRIVER SIDE STARTED TO VIBRATE AFTER DRIVING OVER A BUMP IN THE ROAD. I took the vehicle to THE LOCAL DEALER COMMUNITY FORD (2200 S. WALNUT ST. BLOOMINGTON IN). THE CAUSE OF THE FAILURE WAS NOT YET DETERMINED.</t>
  </si>
  <si>
    <t>while the vehicle was parked, the windshield washer fluid was leaking out of the front camera. The windshield fluid warning light came on. The failure occurred on several occasions. The vehicle was towed to a dealer to be diagnosed; however, the dealer informed I that a cause for the failure was not found.</t>
  </si>
  <si>
    <t>Water leaks into cabin from roof</t>
  </si>
  <si>
    <t>Owners experience rainwater leaking through the sunroof, windows, or roof seals into the vehicle interior.</t>
  </si>
  <si>
    <t>Washer fluid leaking from the front camera; no water in the cabin.</t>
  </si>
  <si>
    <t>The driver side air bag went off while reversing out of my home. The air bag went off while my arm was across the steering wheel. Powder went in my eyes from it and my arm was bruised and burned from the impact. It hurt so bad that my I had someone pick me up from home and drive me to the hospital. I also had my ear drums ringing for a good while. No police has inspected it as it happened at my home and there were no warning lights for it on. I didn’t hit anything either. I was simply reversing when it went off.</t>
  </si>
  <si>
    <t>Airbag deployed on its own while reversing, the opposite of failing to deploy.</t>
  </si>
  <si>
    <t>Exploding rear window. This is twice that it's happened to this truck.</t>
  </si>
  <si>
    <t>We bought the vehicle. We are already having issues with the engine. Ford dealer and maintenance told us that we need to replace engine. Mileage is only 100,063</t>
  </si>
  <si>
    <t>Engine needs replacing at 100k miles, no cause given; coolant intrusion is not mentioned.</t>
  </si>
  <si>
    <t>the back over prevention camera would display a black screen whenever in reverse. The camera would fail the majority of the time when in reverse. The failure related to recall (Back Over Prevention); however, the VIN was not included.</t>
  </si>
  <si>
    <t>while driving the vehicle was driving roughly, with white exhaust smoke coming from the vehicle. the check engine warning light came on. I took the vehicle to the local dealer, who found there was coolant intrusion in the engine. I was told that the engine needed to be replaced.</t>
  </si>
  <si>
    <t>FUSION ENERGI</t>
  </si>
  <si>
    <t>I received notification of recall (Electrical System) however, the part to do the recall repair was not yet available. the manufacturer had exceeded a reasonable amount of time for the recall repair.</t>
  </si>
  <si>
    <t>Owners received recall notifications but could not get repairs due to missing parts.</t>
  </si>
  <si>
    <t>Recall parts unavailable, but for an Electrical System recall, not power train.</t>
  </si>
  <si>
    <t>while driving and turning the steering wheel to the right, the steering wheel was jerking abnormally. I had taken the vehicle to several independent mechanics where it was discovered that the subframe connectors were defective and needed to be replaced. The dealer and the manufacturer were notified of the failure and informed I that there were no recalls on the VIN.</t>
  </si>
  <si>
    <t>Steering wheel jerks in turns from defective subframe connectors; assist did not fail.</t>
  </si>
  <si>
    <t>while driving 50 MPH and attempting to accelerate, the vehicle inadvertently lost power. I was able to pull over to the shoulder of the roadway, where the failure persisted. The service engine warning light came on. I took the vehicle to the dealer, who diagnosed a failure with the transmission.</t>
  </si>
  <si>
    <t>THE CAR STALLED A FEW TIMES WIHILE ON MY WAY HOME WITH NO WARNING HAD TO RESTART THE VEHICLE SO AS I NEEDED TO ACCELERATE OR SLOW DOWN THE VEHICLE WOULD START SHUDDER AND JERK AS IT FELT LIKE IT WAS SLIPPING OUT OF GEAR I HAD TO HAVE VEHICLE TOWED TO MY HOUSE LOOKED UP ISSUES IT SAID IT MAY BE TRANSMISSION SO THEN I HAD THE VEHICLE TOWED TO A INDEPENDENT MECHANIC BUSINESS AND was told TO TAKE THE VEHICLE TO A FORD DEALER THAT THERE WERE 2 RECALLS ASSOCIATED WITH MY VEHICLE THE RECALLS WERE THROUGH THE NHTSA VEHICLE SAFETY REPORTS. (POWER TRAIN) AND (TORQUE CONVERTER). HOWEVER MY VEHICLE WAS THE 1.5 VERSION AND WAS HAVING THE EXACT SAME PROBLEMS AS THE 2.1 VERSION BEING COVERED THROUGH THE VEHICLE RECALLS. SINCE MY VIN WAS NOT INCLUDED I DID NOT HAVE IT REPAIRED. THEY INCLUDED BOTH ISSUES IN THE QUOTE WAS OVER 6000 DOLLARS BUT LESS IF ONE OF THE PROBLEM. THIS WAS IN JUNE/2020 and the car had 97 k miles on it.</t>
  </si>
  <si>
    <t>I was driving down the interstate and the car died with no warning. I was able to get to side of road and checked to see what was going on. Nothing looked weird. I started the ignition and the car started right back up. I took it to mechanic but could not find anything. It happened a again a few weeks later. No check engine light or any warning lights ever came on.</t>
  </si>
  <si>
    <t>Car died on the interstate and restarted; a stall, not hesitation.</t>
  </si>
  <si>
    <t>HAD TAILGATE RECALL DONE IN FEBRUARY 2020. TAILGATE CONTINUES TO OPEN ON ITS OWN. DEALER CAN'T FIND THE PROBLEM. RECENT INCIDENT 11/9/2020 TAILGATE OPENED TWICE WHILE ON ROAD AND DAMAGED 5TH WHEEL CAMPER CARGO DOOR. VEHICLE AT DEALER 3 DAYS COULDN'T GET TAILGATE TO REPEAT INCIDENT. ADVISED NOTHING THEY CAN DO. PRIOR TO LEAVING DEALER TAILGATE WOULDN'T OPEN. RECALL FIX HAS NOT WORKED. I SEARCHED INTERNET AND FOUND NUMEROUS OTHERS WHO ARE HAVING SAME PROBLEM.</t>
  </si>
  <si>
    <t>Tailgate unlatches and opens unexpectedly</t>
  </si>
  <si>
    <t>Owners report the tailgate opening randomly while driving or backing up.</t>
  </si>
  <si>
    <t>Tailgate keeps opening on its own after the recall repair.</t>
  </si>
  <si>
    <t>while driving THE VEHICLE JERKED AND A GRINDING NOISE WAS HEARD COMING FROM THE TRANSMISSION WITHOUT WARNING. THE FAILURE RECURRED. I took the vehicle to ROUNDTREE FORD (8770 BUSINESS PARK DR, SHREVEPORT, LA 71105, (318) 798-3673) TO BE DIAGNOSED. I was told THAT THE TRANSMISSION NEEDED TO BE REPLACED.</t>
  </si>
  <si>
    <t>The head gasket of the engine failed, allowing the intrusion of coolant in to the combustion chamber as well as exhaust gas entering the cooling system. After starting up the engine there is white smoke exiting the exhaust pipe. If you open the coolant reservoir you will also see bubbles coming up (exhaust gas). The issue was diagnosed by a machine shop with pressure testing. The report is attached. The issue was noticed because the car showed a low coolant check light. The car was immediately pulled over without the engine overheating. The ODB2 scanner also showed an engine misfiring for the first 1000 revolutions. This is a known Ford issue and design flaw in the 1.5L engine built between 2017 and 2019. Being a small, high powered turbo engine the engineers needed a better cooling capacity and added a channel between the cylinders to allow for more surface cooling. This channel significantly lowers the ability of the head gasket to perform for the expected life span of the engine. The surface area between the combustion chambers is way too small. Ford addressed the coolant intrusion issue and mitigated it by a change in the coolant passages. It was introduced in early 2019. The issue is confirmed by Ford as well as the dealership where we purchased this car. The issue can only get permanently fixed by replacing the engine block. Only changing the head gasket means the issue can reappear any time, making the car unsafe to drive. Living in Arizona, we feel that it is unsafe to drive a car like this. The desert heats up to 120 degrees over the summer. If your car breaks down in an area without cell phone coverage you have a huge problem. Your car should only break down because parts get old and worn out rather than a design flaw by the manufacturer. If you are selling a baby crib that possibly fails because of a design flaw there would be an immediate recall. I feel that Ford should address this issue again and offer its customers a reasonable to feel safe.</t>
  </si>
  <si>
    <t>while driving at highway speeds, the vehicle went into LIMP Mode. I was able to pull over onto the emergency lane. The high temperature alert message was displayed. The vehicle was towed to the dealer where it was diagnosed, and it was determined that there was coolant intrusion into the engine block. The vehicle was towed to an independent mechanic who declined to service the vehicle and referred him to the dealer for assistance. The vehicle was towed back to the same local dealer who informed I that the engine needed to be replaced.</t>
  </si>
  <si>
    <t>A car cut me off and I rear ended them going under 20 miles per hour. And my air bags went off and they exploded and I recieved chemical burns</t>
  </si>
  <si>
    <t>Airbags deployed in a crash and caused chemical burns; they did not fail to deploy.</t>
  </si>
  <si>
    <t>F-150 LIGHTNING BEV</t>
  </si>
  <si>
    <t>I was leaving my storage unit on Sunday October 6, 2024 at around 7 pm. I was traveling at 5 mph as I approached the exit gate code box. I stopped at the top of the steep hill by depressing the brake. I rolled down the window so I could put the code in that opens the rolling gate below. As I took my foot slowly off the brake, suddenly the vehicle rapidly accelerated, veering slightly left, the steering wheel locked as I pressed the brake pedal twice more it was unresponsive. We flew like a rocket ship knocking down small trees, 2 light posts with 1 light coming down and breaking passenger side windshield. Continuing crashing through 2 iron water main fixtures and through an iron gate. At the bottom of the hill the truck flew into the air and came to a hard landing, the steering wheel unlocked and we came to a stop quickly as the one pedal finally engaged and the computer screen announced " one pedal engaged". Then announced Power Train Malfunctioned. Also airbags never deployed. Prior to the wild ride, the vehicle was awaiting the overdue WiFi update named Power Train system update and prior to approaching the hill, I had tried twice to turn on the one pedal and got the never before seen message " one pedal failure could not engage". Truck was a total loss and my passenger and I were injured. When I contacted a Ford representative and told them about the incident, I mentioned that there was 2 other incidents of a brief steering wheel lock and rapid acceleration without injury or crash, I was told that I should have brought it in, therefore they were not responsible. The 2 brief incidents left me unsure of what had happened so we thought it was a fluke and without out any computer warnings we paid it no mind.</t>
  </si>
  <si>
    <t>Unintended acceleration despite braking, crash</t>
  </si>
  <si>
    <t>Owners report unintended acceleration despite depressing the brake pedal.</t>
  </si>
  <si>
    <t>The brake pedal does not feel right and the car continues to roll. My mechanic found that the brake pedal vacuum boosters commonly fail on this model. He repaired it and less than a year later it has failed again. I heard the air leak when pressing the pedal and the car does not stop, it continues to roll. I've had to park it because this is a safety issue. I do not want to risk my life or cause property damage. The car has less than 130,000 miles on it and no warning lights or messages come on the dash for this. This repair was over $600 but the manufacturer should fix this and make sure it's right and safe.</t>
  </si>
  <si>
    <t>I received notification of recall (Back Over Prevention); however, the part to do the recall repair was not yet available. while shifted into reverse, the rear-view camera failed to display a clear image as intended on the center digital screen. the manufacturer had exceeded a reasonable amount of time for the recall repair.</t>
  </si>
  <si>
    <t>While driving down the middle of a busy interstate suddenly the power steering was lost and a power steering assist warning appeared. Vehicle was almost impossible to control with no steering. After making it off the roadway and into a local business and turning the car off, when I turned it back on the warning was gone and the steering worked normally. This is definitely a life threatening failure and it happens without warning.</t>
  </si>
  <si>
    <t>WHILE DRIVING ON ACCESS ROAD ABOUT 45 MPH THE CAR JOLTED VERY HARD CAUSING ME TO NEARLY LOSE CONTROL COMPLETELY. THE SPEEDOMETER WENT TO ZERO AND IT SEEMED LIKED THE TRANSMISSION DOWNSHIFTED TO 1ST GEAR THEN IT WOULDN'T MOVE. I PULLED OVER AND CHECKED UNDER AND ALL AROUND CAR AND TURNED IT OFF AND RESTARTED IT. IT SEEMED FINE FOR ABOUT 2 MILES THEN DID SAME THING. I TURNED CAR OFF AND CALLED TOW GUY TO TAKE IT HOME.</t>
  </si>
  <si>
    <t>Speedometer to zero with a hard downshift; lead frame item also fits.</t>
  </si>
  <si>
    <t>he previously received a recall notification of recall (Suspension) however, the parts to do the recall repair were not yet available. They stated that the manufacturer had exceeded a reasonable amount of time for the recall repair. while driving 60 MPH, I heard a squealing sound when the rear driver’s side wheel started to wobble. As a result, the vehicle steered to the left then swerved and crashed into a guardrail. No injuries were sustained. No medical attention was required. No police report was filed. he was able to drive the vehicle at approximately 5 MPH to the nearest dealer where they found the toe link had fractured and needed to be replaced. UPDATE 06/05/2023: Consumer contacted NHTSA to inquire whether a federal agency had precedence over sate statutes. Consumer was told that NHTSA doesn't offer legal advice, but may be interested in the file information. Notes to flash drive content and flash drive included.</t>
  </si>
  <si>
    <t>Owners report sudden rear toe link failure causing loss of vehicle control.</t>
  </si>
  <si>
    <t>When the vehicle was started, the steering wheel was impossible to turn. A message on the dash showed “Steering assist fault, Service required”. After shutting the vehicle off and restarting, the power steering was restored. The problem persisted on 2 more vehicle starts on the same day.</t>
  </si>
  <si>
    <t>while driving the vehicle unexpectedly downshifted with the check engine warning light came on. I took the vehicle to an independent mechanic where they found the transmission had failed and needed to be replaced.</t>
  </si>
  <si>
    <t>F-150 HYBRID</t>
  </si>
  <si>
    <t>On multiple occasions, the vehicle has exhibited, what I would call, a loss of acceleration. I first noticed this during a right-hand turn from a stop. I took my foot off the brake, initiated the turn and applied the throttle, and the vehicle took 1-2 seconds before it started to accelerate. The vehicle was in "Normal" drive mode. Currently, this issue is occurring during right and left-hand turns, and straight-line acceleration. For example, I was approaching a red light, so I lifted off the accelerator and started to coast. Before I applied the brake, the light turned green, so I went back to the accelerator, but the vehicle did not increase speed for 1-2 seconds. It suddenly lunged forward, and I had to lift off the accelerator so I could decrease my speed. There are occasions when you need to be quick, like merging onto a freeway, and this lack of responsiveness could lead to an accident. The vehicle has been to the dealer for known transmission issues and the dealer performed a reset on the adaptive tables. The issue I am writing about occurred before and after the adaptive table reset. No warning lamps or messages were displayed during the issue.</t>
  </si>
  <si>
    <t>I was approaching a stop light which turned green and as i slowed down my vehicle's power stopped. The vechicle notice said shift to park. I had to turn the car off - in the middle of a busy road - and turn it back on. it took a couple of tries. This was incredibly dangerous as cars almost hit me as the light was green. Ford knows about this recall but just sent us a notice saying to keep drving it but "be careful" and they will get a fix in the next quarter. I must drive but i do not feel like it is safe. why are people allowed to drive these cars that they know are in danger of stalling. They should all be told to stop driving these cars and give them a replacement until they can get it fixed. I have had to have the battery replaced in this vehicle several months ago despite very low mileage because the car would not start and it seems to be related to this same 12v battery issue. I frequently get "critical battery" notices from the vehicle even when I'm not in it.</t>
  </si>
  <si>
    <t>Loses power at a light and must be restarted; 12V battery issue on a non hybrid, not HV battery.</t>
  </si>
  <si>
    <t>WHILE AT A STOP AND TO GO, THE VEHICLE LOSS power BETWEEN FIRST AND SECOND GEAR, FAILING TO ACCELERATE AS DESIGNED. THE VEHICLE WAS TAKE ROBERTS MOTORS INC., (4350 N ALBY ST, ALTON, IL 62002) WHERE THE TRANSMISSION FLUID WAS CHANGE AND A NEW HOSE WAS REPLACED HOWEVER, THE REPAIRS FAILED TO FIX THE FAILURE. THE VEHICLE WAS LATER TAKEN TO WEBER FORD (3465 PROGRESS PKWY, GRANITE CITY, IL 62040) AND WAS TEST DRIVEN HOWEVER, THE MECHANIC WAS UNABLE TO DUPLICATE THE FAILURE. I MENTIONED THAT THE VEHICLE FAILED TO EXCEED 25 MPH.</t>
  </si>
  <si>
    <t>while reversing the vehicle, the backup camera was inoperable. I took the vehicle to the local dealer who replaced the backup camera assembly and the failure was remedied.</t>
  </si>
  <si>
    <t>while driving 72 MPH, the A-pillar trim detached. I received notification of recall (Structure); however, the part to do the recall repair was not yet available. the manufacturer had exceeded a reasonable amount of time for the recall repair.</t>
  </si>
  <si>
    <t>I received notification of recall (Engine and Engine Cooling); however, the part to do the recall repair was not yet available. the manufacturer had exceeded a reasonable amount of time for the recall repair. while driving the check engine and transmission warning lights came on. The vehicle then lost power. The vehicle was towed to the dealer, where it was determined that the failure was related to the recall and I was told that parts were not yet available.</t>
  </si>
  <si>
    <t>Recall parts unavailable: engine cooling</t>
  </si>
  <si>
    <t>Owners report low oil pressure warnings causing engine stalls after recall parts were unavailable.</t>
  </si>
  <si>
    <t>while driving 10 MPH, after coming to a stop, the vehicle started jerking and sputtering. she thought the vehicle was going to lose power however, the vehicle remained running. the vehicle had been repaired under an unknown recall 2 years ago for the fuel injection or fuel tank. recently while driving, the check engine warning light came on and the vehicle was sputtering. she had to depress the accelerator pedal for the vehicle to remain running. I took the vehicle to an Auto Zone to be diagnosed. The DTC reading stated power train system and reprogram transmission control module. The Auto Zone employee advised her to contact a Ford dealer.</t>
  </si>
  <si>
    <t>Jerking, sputtering and near stalling at low speed with a TCM code; no downshift.</t>
  </si>
  <si>
    <t>while driving at 40 MPH, the vehicle started shaking uncontrollably. I took the vehicle to a dealer to be diagnosed. I was told that the failure was due to a faulty passenger’s side half-shaft axle. The vehicle had not been repaired.</t>
  </si>
  <si>
    <t>Shaking at 40 mph from a faulty half shaft, not front end wobble after bumps.</t>
  </si>
  <si>
    <t>The transmission downshifts s hard after the vehicle is fully warmed up it will cause the rear tires to lock up on wet or slippery road conditions This may cause a loss of control and put the occupants of the vehicle in danger The problem has not been confirmed by a dealer but it has been in twice for this issue. the dealers do not have enough time to drive the vehicle long enough for the transmission problem to start. There are no warning lamps on the dash, but I do have video proof of this occurring.</t>
  </si>
  <si>
    <t>THE TRAILER BRAKING SYSTEM ON MY NEW the vehicle POWERBOOST MALFUNCTIONS EVERY ONCE IN A WHILE. WHILE TOWING MY 27 FT AIRSTREAM TRAILER THE BRAKES WILL OFTEN STOP WORKING. THEY ALWAYS WORK WHEN I BEGIN A TRIP, BUT THEN THE BRAKES FAIL DURING THE TRIP. I RECEIVE A NOTICE WHEN ATTEMPTING TO MANUALLY APPLY TRAILER BRAKES FROM INSIDE THE CAB THAT THE TRAILER IS NOT RECOGNIZED. SEVERAL OTHER NEW the vehicle POWERBOOST OWNERS ARE EXPERIENCING THE SAME ISSUE AND THEIR EXPERIENCES CAN BE FOUND ON THE F150GEN14.COM USER FORUM. I HAVE INCLUDED A LINK TO THE FORUM THREAD. https://www.f150gen14.com/forum/threads/trailer-brake-not-working.3039/ SO FAR NONE OF US HAVE ANY SUCCESS WORKING WITH FORD DEALERS. I HAVE TRIED SEVERAL AND THEY ARE NOT HELPFUL. I ALSO CALLED FORD CUSTOMER SERVICE BUT THEY COULD NOT FIND ANYTHING IN THEIR DATABASE INDICATING THERE IS A PROBLEM. THE ONLY CLUE I'VE FOUND SO FAR, FOR MY TRUCK, HAS TO DO WITH THE SEVEN PIN PLUG. WE HAVE TRIED TWO DIFFERENT TESTING DEVICES AND BOTH SHOW THERE IS ABOUT A 6 SECOND DELAY SENDING A SIGNAL TO THE EBRAKE PIN. THE OTHER PINS FOR LIGHTS FIRE IMMEDIATELY, BUT THE EBRAKE PIN HAS A DELAY. OTHERS ARE LOOKING AT THE BRAKE MODULE IN THE TRUCK AND OTHER PROGRAMMING ISSUES. AS YOU CAN SEE FROM THE USER FORUM THERE ARE MANY THEORIES AND NO SOLID SOLUTIONS YET. I HAVE HAD MY AIRSTREAM BRAKES INSPECTED TWICE AND THEY HAVE NOT FOUND ANYTHING OUT OF THE ORDINARY. THIS IS A SERIOUS SAFETY ISSUE BECAUSE A 7K LB TRAILER PUSHING YOU DOWN A STEEP MOUNTAIN WITH NO BRAKES IS TERRIFYING. SOMEONE IS GOING TO HAVE A SERIOUS ACCIDENT IF FORD DOES NOT TAKE THE ISSUE SERIOUSLY AND FIND THE CAUSE.</t>
  </si>
  <si>
    <t>Trailer brake controller fails to apply brakes</t>
  </si>
  <si>
    <t>Owners report trailer brakes fail intermittently while towing without warning.</t>
  </si>
  <si>
    <t>while driving I noticed white smoke coming from the tailpipe. Additionally, the check engine warning light came on. I drove the vehicle to a safe location and parked the vehicle. I checked the oil level and confirmed that the oil level was adequate. I took the vehicle to the dealer where they found a coolant leak into cylinder #3. I was told that the engine needed to be replaced. I was told of an unknown recall; however, the VIN was not included in the recall.</t>
  </si>
  <si>
    <t>while the vehicle had a routine oil check, the mechanic stated that the coolant was low. The vehicle was diagnosed but failure was found.</t>
  </si>
  <si>
    <t>Only says coolant was low at an oil change; no intrusion or engine replacement mentioned.</t>
  </si>
  <si>
    <t>Yes, if the NHTSA communicates with me that they need to look at my transmission, and I am either provided another equal mode of transportation or paid for my lack of ability to use my vehicle during inspection/possession/out of service by the NHTSA. 10R80 10 speed transmission was finally replaced under warranty by FORD in January. The new transmission has been problematic and getting worse since march. Transmission flairs/slips. Transmission acts as if the brakes are put on at times/acceleration is greatly decreased for no reason. Hard shifts at times… I and other others are put at risk due my car, responds erratically and this could become a safety issue by causing a crash or loss of control by the Ford MACH 1 the vehicle. Transmission often is too high gear and the as a result, the engine is lugging too much. No idiot, lights or warning lights have come on this go round. The police have not inspected the transmission. I would not expect them or ask them to inspect the transmission because I would assume 99% of them would know very little to nothing about it. Same goes with the insurance company. Ford and Chevy the two manufacturers of this transmission are both aware of the multiple problems of this poorly designed and manufactured transmission. I was not sure what incident date you wanted. The first transmission or second transmission? There are multiple incidents and issues starting from my first ownership of the car when I first test drove the car and had 550 miles on it. The original and replacement transmission are both and have been problematic and unsafe.</t>
  </si>
  <si>
    <t>My vehicle shut off while i was driving on the highway. The check engine light flashed for a few seconds and then the whole car shut off while i was doing 70 on the highway. Thankfully nobody was hurt but i'm lucky to be alive. Cars swerving everywhere! When i took it to the dealer they say it was a cylinder misfire and its caused by coolant leaking into the engine through porous materials used by FORD. Its been to several ford dealerships. They inspect it, they know right away what the issue is because they see it all the time and they all say the same thing. Yes we know about it, no we wont fix it. I spoke to ford about the issue and they admitted that they know about the problem but they're refusing to recall my vehicle. These vehicles are at risk hurting thousands of people. Im being told that these engines were used in most ford vehicles from 2012 on... PLEASE HELP!!!!!!</t>
  </si>
  <si>
    <t>I heard a load pop noise and then smelled almost a burnt type smell. The next day my driver side seatbelt is completely locked. I’ve tried all my ford dealership close to me and I’ve called multiple customer service no one is willing to help me.</t>
  </si>
  <si>
    <t>Pop and burnt smell, driver belt now locked (pretensioner fired).</t>
  </si>
  <si>
    <t>I previously had an issue with my 10 speed the vehicle transmission shifting into first gear at highway speeds and locking into first gear. It was taken to the dealer and had a tail shaft speed sensor replaced. It had been issue free for a few years now, but the issue happened again this weekend while towing a loaded trailer almost causing a loss of control and crash. It was completely unexpected and required the vehicle to be stopped and restarted to get the truck out of first gear</t>
  </si>
  <si>
    <t>Engine coolant low message has continually been an issue with this car since it was purchased used at the end of 2013. It got so bad that at one time I would have to carry antifreeze with me. I have replaced the water pump, hoses, thermostat housing, and other parts at considerable expense. I noticed that NHTSA ID # 10218621 refers to 1.5L EcoBoost engines built before June 10, 2019 in 2017 thru the vehicle does not pertain to my car because I have a 1.6L EcoBoost engine, but what is described in that notice and the Ford Technical Service Bulletin 22-2322 is exactly what is happening to my car. I believe Ford has the same problem with this 1.6L EcoBoost engine. My problems began in 2016 and twice since the engine temp spiked to extremely hot without warning and the car had to be shut down while driving causing extreme safety issues.</t>
  </si>
  <si>
    <t>Chronic coolant loss and overheating on the 1.6L; owner says it matches the intrusion bulletin.</t>
  </si>
  <si>
    <t>no one was injured or sought medication. No police report was filed on the incident. I took the vehicle to a local dealer and was told her VIN was associated with recall (Service Brakes, Hydraulic) however, the part to do the recall repair was not yet available. The manufacturer had not been informed of the failure.</t>
  </si>
  <si>
    <t>Text only covers a brake recall with parts unavailable; no acceleration described.</t>
  </si>
  <si>
    <t>Remedy not available in timely manner. This came out in 2024. Issue should be fixed and parts available. I am experiencing the wind noice due to this. Manufacturer Recall Number recall NHTSA Recall Number recall Recall Status Recall Incomplete, remedy r yet available</t>
  </si>
  <si>
    <t>Recall remedy not available, owner has wind noise (likely A-pillar trim); no camera mentioned.</t>
  </si>
  <si>
    <t>On Dec 27, 2022 I was involved in a collision where my the vehicle would not come to a complete stop at an intersection /red light. I approached the vehicles at the light breaking to slow down but the truck drive gear did not disengage, and I struck the vehicle in front of me at about 2-3mph and then proceeded to push the vehicle into the car in front of them all while I was fully applying the break (foot of the gas pedal). It was not until I put the truck in neutral and turned it off that it stopped pushing the other vehicles. I did not receive any warnings or notification lights on my truck prior or during the impact/pushing. It as if the the vehicle didn't see the vehicle in front of it and the auto drive system engaged as if it had a mind of its own. I have spoken to Ford Corp regarding the issue and they have advised me to have the vehicle inspected but my local Ford dealers are refusing to run a diagnosis on the vehicle prior to having it repaired thus causing an impasse all while I'm very nervous driving this truck out of fear of it happening again. 01/09/2023-Manufacturer Safety recall issued NHTSA #recall Recall #recall WINDSHIELD WIPER MOTOR REPLACEMENT Status: Remedy Available</t>
  </si>
  <si>
    <t>Owners report safety features failing unexpectedly while driving at highway speeds.</t>
  </si>
  <si>
    <t>Truck kept pushing into cars with the brake fully applied; owner only guesses at driver assist.</t>
  </si>
  <si>
    <t>after starting the vehicle, while the vehicle was idling, the vehicle was shaking and vibrating abnormally. Additionally, after shifting to drive, the vehicle erroneously lunged forward, and while shifting into reverse the vehicle jerked backwards. I took the vehicle to the local dealer who found the torque converter and engine were faulty and needed to be replaced. I was told that the VIN was not included in recall (POWER TRAIN). the vehicle had experienced the failure listed in the recall.</t>
  </si>
  <si>
    <t>Shaking at idle and lunging into gear, torque converter replaced; no downshift.</t>
  </si>
  <si>
    <t>Check Engine light was going on and off for a month on the vehicle SE with less than 60,000 miles. Was driving to dealership to have it checked out. Before getting to the dealership, an audible and visual Overheating Engine warning occurred. The dealership said they could not look at the car for at least two weeks. They replied that the engine needed replacement "REPLACE LONGBLOCK COOLANT IN CYL#4" with a price tag of $9,339.29. Ford knows about the issue and will not issue a recall. Not only is this extremely horrible product and customer service, it is a huge safety issue as the car could have overheated while going at high speeds and/or caused harm and damage to occupants and others on the road.</t>
  </si>
  <si>
    <t>while driving the vehicle momentarily lost power while shifting into gear, and the transmission shifted hard. The power train warning light came on, and the vehicle went into LIMP Mode. The warning light came on after each failure. I took the vehicle to the dealer, where they found the transmission CDF drum had failed. The dealer had not yet provided an estimate for the repair.</t>
  </si>
  <si>
    <t>Water in the cab. Found online a few others have posted about clogged ac drip line. By the time you find it, your carpet is ruined. Have not Been able to locate the drip line.</t>
  </si>
  <si>
    <t>Water in the cabin from a clogged AC drain, not the roof.</t>
  </si>
  <si>
    <t>while driving the message "Charge System Fault" displayed on the instrument panel. the vehicle almost stalled, and the vehicle was running rough. I was aware of recall (Engine and Engine Cooling). I had taken the vehicle to a local dealer, who diagnosed the vehicle and determined that the oil pump had failed and damaged the engine. I was told that several parts needed to complete the repair were on a national back order. the manufacturer had exceeded a reasonable amount of time for the recall repair.</t>
  </si>
  <si>
    <t>Oil pump failed and damaged the engine, recall parts back ordered; not a hybrid battery.</t>
  </si>
  <si>
    <t>while driving the vehicle unexpectedly downshifted with the transmission warning light came on. The vehicle was restarted; however, the failure recurred. I took the vehicle to the dealer.</t>
  </si>
  <si>
    <t>Power steering assist indicator came on. Power steering whent out and could not steer vehicle. It says on internet that the the vehicle sel 3.0 has a recall but it dosen't show on recall list. This is very dangerous Is there a recall on this or not. If not there should be. Please let me know Thanks</t>
  </si>
  <si>
    <t>At around 50,000 miles the Turbo on the engine was leaking oil. Dealer replaced the turbo and kept the part. It needed to be replaced to avoid a catastrophic failure of the turbo which in turn could cause severe engine oil loss resulting in engine failure and oil contamination of the catalytic converters O2 sensors and possibly a car fire. There was no warning but was caught during a routine oil change. Unknown if the dealer reported it.</t>
  </si>
  <si>
    <t>Turbo leaking oil, replaced; nothing about coolant.</t>
  </si>
  <si>
    <t>while driving 35 MPH and attempting to stop the vehicle, the braking system malfunctioned and the brake pedal extended to the floor causing the vehicle to nearly crash into a truck. I took the vehicle to a local mechanic who found the rear passenger’s side brake line had failed. The brake line was replaced and the failure was remedied. Later while operating the vehicle, the brake warning light came on. Upon inspection, it was discovered that the rear driver’s side brake line had failed to cause brake fluid to leak from the vehicle. I indicated that both the front driver’s side and passenger’s side brake lines were previously repaired for the same failure.</t>
  </si>
  <si>
    <t>I WAS DRIVING ON A HIGHWAY ABOUT 75 MILES AND I HIT A BUMP AND I ALMOST LOST CONTROL OF MY TRUCK WITH MY KIDS IN THE CAR. THE STEERING WHEEL STARTED SHAKING AND I HAD TO HOLD ON TO KEEP IT FROM GOING TO THE OTHER LANE TO AVOID HITTING ANOTHER VEHICLE. IT WAS VERY SCARY AS I THOUGHT I WOULD HAVE BEEN IN A DEADLY ACCIDENT WITH MY FAMILY, I HAVE BEEN THE ONLY OWNER OF MY TRUCK AND IT ONLY HAS 24,000 MILES. I DON'T UNDERSTAND HOW FORD HAS NOT RECALLED THIS ISSUE IN SUCH AN EXPENSIVE TRUCK.</t>
  </si>
  <si>
    <t>DOCUMENTATION OF UNWARRANTED / UNCONTROLLED VEHICLE ACCELERATION: DRIVER STATED THAT WHILE VEHICLE WAS STOPPED IN TRAFFIC, VEHICLE ACCELERATED WITHOUT USE OF ACCELERATOR PEDAL. VEHICLE LURCHED FORWARD INTO VEHICLE AHEAD, AND INTO 2ND VEHICLE AHEAD IN TRAFFIC. ENGINE CONTINUED TO RACE AT HIGH SPEED WITH TRANSMISSION IN DRIVE, SPINNING REAR TIRES UNCONTROLLED WITH BOTH FEET DEPRESSING BRAKE PEDAL. VEHICLE HAD TO BE PUT IN NEUTRAL TO SHUT OFF ENGINE. APPROXIMATELY 15 - 20 MINUTES PRIOR TO INCIDENT, VEHICLES CRUISE CONTROL DISENGAGED WITHOUT REASON WHILE DRIVING @ 60 MPH ON PARKWAY. SYSTEM RE ENGAGED WITHOUT FURTHER ISSUE ON PARKWAY. THERE WAS NO DISPLAYED WARNING LIGHTS OR MESSAGES PRIOR TO INCIDENT INCIDENT REPORT FILED WITH FORD CORPORATE MOTOR CO. CASE # .</t>
  </si>
  <si>
    <t>Surged forward into two cars while stopped with both feet on the brake.</t>
  </si>
  <si>
    <t>POWER STEERING STOPPED WORKING WHILE DRIVING IN JACKSONVILLE, FL. THE VEHICLE IS VERY HARD TO STEER, ESPECIALLY WHEN DRIVING SLOW. WE BOUGHT THIS the vehicle SEL BRAND NEW IN 2013 FROM PARKWAY FORD IN DICKINSON, NORTH DAKOTA. I HAVE READ ONLINE THAT MANY OTHER PEOPLE ARE HAVING THE SAME ISSUE WITH THEIR POWER STEERING GOING OUT. THE CODE ON MY VEHICLE IS: U3000:53-C8 FROM A CODE READER. THE VEHICLE FAILED AFTER FILING WITH FUEL, BUT AFTER SHUTTING DOWN AND RESTARTING IT WAS FINE AGAIN. LATER THE NEXT DAY IT WENT COMPLETELY OUT AFTER STARTING THE VEHICLE.</t>
  </si>
  <si>
    <t>the power steering assist fault warning message had flashed twice on the instrument panel; however, the power steering continued to operate as needed. I then stated that while driving at 65 MPH, the warning message flashed as the power steering assist failed to operate as designed. I used excessive force to steer the vehicle to the residence. Several days later, an independent mechanic went to the residence and drove the vehicle back the shop without failure. The mechanic determined that the vehicle needed to be serviced by an authorized Ford dealer. The vehicle was driven to the dealer. The dealer diagnosed the vehicle with a defective electric power steering rack. I then called the manufacturer and was told that the vehicle was not under warranty or recall. The failure mileage was approximately 140,000</t>
  </si>
  <si>
    <t>Hard downshift, loss of power.</t>
  </si>
  <si>
    <t>while driving I noticed a burning odor in the interior of the vehicle. an error message indicated service 4WD was displayed. In addition, when the vehicle was parked in the garage, I noticed a burning odor on the exterior of the vehicle. I took the vehicle to the dealer, however the failure was not duplicated. The dealer performed an oil change. seven days later, the failure occurred. while driving I noticed fire coming from underneath the hood. I and her daughter were occupants of the vehicle. I stopped and parked the vehicle. I and her daughter exited the vehicle. No injuries were sustained. The vehicle was towed to the dealer, which was the dealer that performed the diagnostic test and the oil change the week prior to the failure. I received documentation which provided several unknown parts related to the power train and electrical wiring that were replaced. no official failure diagnostics were provided. The vehicle manufacturer was not made aware of the failure.</t>
  </si>
  <si>
    <t>I reported an odor coming from my vehicle and took it to the Ford dealership to get checked. Nothing was found by the dealer. I continued to notice a strong odor. Recently, when cleaning my car, I removed the floor mat and found a puddle of water underneath. I removed a small panel in the dash and could see water leaking when I ran climate control. It was leaking all over multiple electrical components so I have been hesitant to drive. The water will not dry or drain and has begun to mold.</t>
  </si>
  <si>
    <t>Water leaks from the dash when climate control runs, not from the roof.</t>
  </si>
  <si>
    <t>Vehicle loses communication between control modules &amp; goes into a limp-home mode. Has happed 3 times when doing highway speed driving on cruise control. Lots of alarms are posted including forward collision warning, emergency braking &amp; traction control not working. Check Engine Light lights. Vehicle power is shutdown to low level. There is loss of throttle response. I pulled over to side of road because display messaging said that it wants to shift gear but must wait until vehicle slows. When slowing to near a stop, but still going 1-2mph (estimate), the vehicle slammed into park &amp; put the Parking Brake on. I can acknowledge warning messages, take Parking Brake off, &amp; select Drive. Then vehicle tries to move at 35mph of its own &amp; w/o any throttle input. In fact, the throttle is unresponsive in this mode. The electric traction motor and/or engine will try to maintain 35mph -- forward or REVERSE -- &amp;will apply power as needed to sustain that speed. Thankfully, the braking power will overcome the powertrain drive power &amp; I can stop. The communication issue has happened to a couple other the vehicle vehicles in the country, but I don't know whether they've experienced the vehicle trying to go 35mph on its own w/o any throttle input. This going 35mph in limp-home mode -- in forward and in reverse, and w/o any throttle input -- is a horrible fail-safe response &amp; seems very unsafe to me. It is hard to gently back into a parking spot. Losing power while driving because of the whole communication failure is very unsafe: I might need to finish a pass on a 2-way highway and would need power for that; I might need to throttle out of a situation; or, as has happened 3 times to me, I suddenly lose power on an interstate highway where traffic regularly is going between 65 -80mph. This could leave me getting rear ended because my vehicle slows w/o brakes applied so other drivers have no warning. These incidences occurred after recall / recall safety recall service.</t>
  </si>
  <si>
    <t>Module communication loss puts it in limp mode and cuts power at highway speed; also odd Park and 35 mph creep behaviour.</t>
  </si>
  <si>
    <t>When driving, if the accelerator pedal is depressed to merge into the highway or overtake other vehicles, the vehicle abruptly stops accelerating, and the RPM reaches max revs. The vehicle quickly loses momentum until it abruptly slams back into gear, causing a loud bang and startling the driver. This vehicle had a TSB for similar issues that was repaired by our dealer 2 times previously. We have experienced this 2 times since the repair (A total of 4 times). One time, while attempting to accelerate onto a merge lane into traffic, the car stopped accelerating, causing a large 18 wheeler to slam on their brakes to avoid hitting us as we were running out of onramp space. The dealer performed a transmission rebuild after the 3rd time this occurred. The day after we got the car back from service, it happened again. We have video footage of the transmission slipping after the event. The dealer is unable to replicate the condition, and therefore, don't have anything they can fix without a code or system fault- apparently not even the over-revs triggered a fault. I don't trust this vehicle to be safe for my family or other motorists. I have asked for a completely new transmission and other components but am told that without their ability reproduce the issues, there is no repair. They are unable to guarantee the car's safety, but expect for me to take it back. This puts me in an impossible situation - I'm being forced to drive a car that I know is unpredictably unsafe, and am unable to ethically/morally dispose of the vehicle knowing it will be back on the road and driven by someone else. Lincoln needs to do the right thing for their customers, other motorists, and my family. Their solution was to give me an extended warranty - a nice gesture, but clearly not addressing the safety issue at hand. Note: I am unable to upload the email chain with Lincoln because the upload button below does not work. I'm happy to share any communication you need.</t>
  </si>
  <si>
    <t>Revs flare and it slams back into gear; transmission slipping, rebuilt.</t>
  </si>
  <si>
    <t>“Temporarily lost communication with the Climate System” error. Alert suddenly came on while driving, no prior issues or signs of error. Windows will not go down, air conditioner will not come on, cannot use climate touch screen or control volume from dash.</t>
  </si>
  <si>
    <t>HVAC blower motor fails to operate</t>
  </si>
  <si>
    <t>Owners report the blower motor stops working or runs intermittently in heat.</t>
  </si>
  <si>
    <t>Lost communication with the climate system, touchscreen, windows and volume dead; not a blower motor.</t>
  </si>
  <si>
    <t>while his son was attempting to start the vehicle, the vehicle failed to start. After a visual inspection of the gear selector mechanism, I observed that the cable was detached. I was able to shift the gear by using the shift lock release button and was able to start the vehicle. I took the vehicle to the dealer, who determined that the shifter cable bushing had degraded, causing the shift cable to detach. After investigating the failure, I related the failure to recall (Power Train) but the VIN was not included.</t>
  </si>
  <si>
    <t>MKC</t>
  </si>
  <si>
    <t>Coolant intrusion into number 2 cylinder requiring full engine replacement of my 2017 my 2.0l eco boost engine</t>
  </si>
  <si>
    <t>while driving the accelerator pedal was depressed; however, the vehicle failed to accelerate as intended. In addition, the air bags and the check engine warning light came on. The vehicle was driven to the shoulder of the road. I turned the vehicle off and allowed the vehicle to sit for several minutes. The vehicle was restarted, and the system reset independently.</t>
  </si>
  <si>
    <t>MUSTANG MACH E</t>
  </si>
  <si>
    <t>while driving 20 MPH and pressing the brake pedal to stop, the vehicle suddenly accelerated forward and crashed into the rear of a second vehicle. Before the crash, the pre-collision warning had activated, but the vehicle did not stop. The front end of the had sustained severe damage but no bags deployed. No injuries were reported. A police report was taken at the scene, and the vehicle was later towed to a nearby collision facility. The cause of the failures has not yet been determined. The manufacturer and local dealer have not yet been contacted.</t>
  </si>
  <si>
    <t>The car has lost the electric power steering. According to a Google search, this is a recall problem with the the vehicle.</t>
  </si>
  <si>
    <t>While parking my truck in my shed the passenger side flexible brake hose ruptured and all the brake fluid gushed out. I almost immediately lost my front brakes. I pull a 9,000 lb camper and was fortunate I was not pulling it when this occurred or this could have put my family and anyone in other vehicles on the road at risk of severe injury or death. I had the truck towed to a local Ford dealership. The technician there confirmed that the front passenger side brake line flexible hose ruptured and that the driver's side needed to be replaced as well. There was no warning lights prior to the event. But soon after the brake hose ruptured a warning that the brake fluid level was low came on.</t>
  </si>
  <si>
    <t>Front brake hose ruptured, fluid gone, front brakes lost.</t>
  </si>
  <si>
    <t>Did a DC Fast Charge at Electrify America in Astoria Oregon from 62% to 87%. Used wide open throttle to pass car on mountain climbs about 4 times with in about 30 minutes of charge. When accelerating on to Interstate 5 south received the Service Vehicle Soon warning - Ford App said stop and get car towed. Continued to drive for 22 miles and made it home. Charged car to 85% on Level 2 charger and drove it dealer on Sunday morning, no issues driving. Dealer had the car for one week and replaced the High Voltage Battery Junction Box and so far the car has been fine. Dealer provided a rental car at no cost their service was excellent. However, I thought it would be best to report this incident in light of the recent news.</t>
  </si>
  <si>
    <t>HV battery junction box replaced after a warning, but the car kept driving; no failure to start.</t>
  </si>
  <si>
    <t>while driving 50 MPH, the vehicle started shaking abnormally. I took the vehicle to a dealer and I was told that the transmission needed to be replaced.</t>
  </si>
  <si>
    <t>Shaking at 50 mph, transmission replaced; transmission failure item also fits.</t>
  </si>
  <si>
    <t>On three separate occasions, the steering wheel has locked while the vehicle is in drive. My safety is at risk as the car becomes inoperable. I brought the vehicle in for service, and was told they were unable to reproduce it. No warnings or alerts were received after the incidents.</t>
  </si>
  <si>
    <t>Steering wheel locks up in Drive with no warning; unclear it is a loss of assist.</t>
  </si>
  <si>
    <t>while driving at undisclosed speeds and turning to the left, the rear end of the vehicle was shaking and vibrating abnormally. I took the vehicle to the local dealer who diagnosed and determined that the rear differential was faulty and needed to be replaced.</t>
  </si>
  <si>
    <t>Rear differential bearing fails</t>
  </si>
  <si>
    <t>Owners hear grinding noises and experience shuddering while driving.</t>
  </si>
  <si>
    <t>On Tuesday, May 5 2026 upon entering the vehicle, my wife closed the drivers door at which time the rear windshield exploded. The vehicle is scheduled for an appointment on Monday, May 11, 2026 at Porterville Ford for inspection. Approximately 50% of the glass came out, both inside and outside the vehicle. If my children were there, they would have been covered in broken tiny pieces of glass. This vehicle has just over 6,000 miles since new and has never had any damage to the glass. I have researched online and there are many other instances where this has happened, often siting incorrect or too tight of installations where the pressure from closing a door shatters the tempered glass.</t>
  </si>
  <si>
    <t>Coolant leak into the cylinders. Car overheating due to low coolant.</t>
  </si>
  <si>
    <t>while driving the transmission unexpectedly downshifted. The vehicle returned to normal functionality, but the failure became a regular occurrence. The service transmission warning light came on. I took the vehicle to the dealer, who diagnosed a failure with the output shaft. After investigating the failure, I related the failure to the repair under recall (Power Train); the VIN was included, but the vehicle was already repaired. the failure had not occurred prior to the repair by the dealer.</t>
  </si>
  <si>
    <t>Truck was in first gear and pulled out into intersection to make left turn. When depressing gas pedal no power to truck and was almost t boned in the middle of intersection. The issue has happened multiple times when driving. The vehicle has only been looked at by mechanic who recommended it be taken back to ford dealership due to transmission issues that should be under powertriain warranty 5years 60,000 miles. Issue started happening with approx 45,000 miles and now has 51000 miles as of december 2022.</t>
  </si>
  <si>
    <t>No power when pulling out; mechanic suspects the transmission.</t>
  </si>
  <si>
    <t>Known sunroof issue with ford with the plastic tracks breaking and sunroof refuse to open/close. Ford issued a TSB and forums have many ford owners with same issue.</t>
  </si>
  <si>
    <t>Panoramic sunroof glass shatters spontaneously</t>
  </si>
  <si>
    <t>Owners report the sunroof glass exploding or shattering while driving without impact.</t>
  </si>
  <si>
    <t>Sunroof tracks broke so it will not open or close; no glass breakage.</t>
  </si>
  <si>
    <t>Steering locked up while driving, causing a dangerous situation, fortunalty it was at low speeds an no harm came of it. 61,000 miles on the vehicle, Failed rack and pinion steering, needed to be replaced. $2,500 .</t>
  </si>
  <si>
    <t>Steering locked up at low speed, failed rack and pinion replaced.</t>
  </si>
  <si>
    <t>Transmission failure while driving causing a safety issue for myself and others while immobilized in traffic. While stopped at a red light on a highway, my car failed to move forward when pressing the gas. There were no warning lights. Eventually after several tries the car lurched forward. A warning light finally came on when I reached my destination a mile away. The car was taken to a dealer who diagnosed transmission failure. The car has 63K miles on it and now requires a 5K repair to the transmission. The vehicle is still not repaired due to parts shortages.</t>
  </si>
  <si>
    <t>Today while driving, I turned from a main road into a residential neighborhood and my vehicle decided to stay stuck in first gear. I pulled over, turned it over thinking it would reset. It didn’t. I continued to drive the vehicle in first gear, which won’t shift until it gets to 6000 rpm’s in order to shift to second. So here I am, in a residential zone where the speed limit is 25 MPH stuck in first with no way to get out other than to speed up enough to get to 6000 rpm’s. People were very upset. However this is the predicament this vehicle frequently leaves me in. Fords aware of it. The public is aware of it. Nothing gets done. Meanwhile there are several scenarios that are major safety hazards that occur due to this faulty vehicle. I am told that parts won’t be in for my vehicle for several weeks or even months. So I’m stuck putting drivers and neighbors around me in danger cause Ford won’t admit to their faulty products. So disappointing all the way around.</t>
  </si>
  <si>
    <t>I got a flat tire on Interstate 75 North in central Georgia. I had an issue with the lug nuts coming off. This issue put me and my family in grave danger. Instead of a simple tire change I had to wait on the side of the interstate for roadside assistance due to the issued lug nut wrench not working properly because of the swollen lug nuts! This is a very unsafe! Please contact Ford to make them accountable!</t>
  </si>
  <si>
    <t>I RECEIVED NOTIFICATION OF NHTSA CAMPAIGN: recall (SUSPENSION). THE MANUFACTURER HAD EXCEEDED A REASONABLE AMOUNT OF TIME FOR THE RECALL REPAIR. I CALLED BOGGUS FORD HARLINGEN (2521 S EXPRESSWAY 83, HARLINGEN, TX 78550, (956) 423-2580) AND was told THAT PARTS WERE NOT YET AVAILABLE. THE VEHICLE WAS NOT DIAGNOSED NOR REPAIRED. PARTS DISTRIBUTION DISCONNECT. *BF THE CONSUMER STATED</t>
  </si>
  <si>
    <t>Single suspension recall with parts unavailable; description fits even if not several recalls.</t>
  </si>
  <si>
    <t>while driving the brake pedal would depress to the floorboard without warning. extra brake travel time was needed for the vehicle to come to a complete stop. I had taken the vehicle to the dealer and I had her brake lining and rotor assembly were replaced. The mechanic also informed her that the brake master cylinder and hydraulic control assembly might also need replacement. The parts were not replaced. Despite the repair, the failure persisted. I took the vehicle to an independent mechanic to check the repairs that were performed on the vehicle. The mechanic informed her that the work was repaired; the mechanic referred her to the NHTSA to file a complaint. The manufacturer had yet to be notified of the failure. The vehicle had yet to be repaired. The failure mileage was 44,924</t>
  </si>
  <si>
    <t>Pedal goes to the floorboard without warning.</t>
  </si>
  <si>
    <t>while attempting to accelerate from a stop, the transmission was slipping, with the check engine warning light came on. I took the vehicle to a local dealer where the vehicle was diagnosed, and I was told that the transmission was faulty and needed to be replaced.</t>
  </si>
  <si>
    <t>the lug nuts had swollen and were not able to loose without damage. In order to rotate my tires the dealership had me pay for new lug nuts. If they the parts were that cheaply made at the factory, why am i asked to pay for them.</t>
  </si>
  <si>
    <t>TSB 22-2229 - Technical Service Bulletin issued by Ford regarding a coolant leak issue in certain 2.0L EcoBoost engines, potentially leading to engine failure and requiring engine replacement. This happened to my vehicle in the Ford dealership told me I need to replace my engine and I think Ford needs to replace the engine.</t>
  </si>
  <si>
    <t>my mother owns a the vehicle. while her mother was at a standstill at a stop sign, the steering wheel became difficult to turn. The driver was able to park on the side of the road. The vehicle was not drivable. The driver towed the vehicle to the local dealer, where they found needing the steering column to be replaced. The manufacturer had not been informed of the failure.</t>
  </si>
  <si>
    <t>THERE WAS A RECALL FOR AN ENGINE BLOCK HEATER CORE. THE VEHICLE WAS TAKEN IN FOR THAT RECALL REPAIR ON 09/04/2019. THE RECALL WORK WAS DONE AT THE DEALER CAPITAL FORD WILMINGTON (4222 OLEANDER DR, WILMINGTON, NC 28403 910-799-4060). ON 07/01/20 AS THE VEHICLE WAS PLACED IN REVERSE THERE WAS DARK GRAY SMOKE COMING FROM UNDER THE HOOD. THERE WAS A FIRE COMING FROM THE BACK OF THE ENGINE THAT WAS EXTINGUISHED WITH AN EXTINGUISHER. I NOTICED SMOKE WAS STILL COMING FROM THE AIR FILTER ELEMENT. I HAD PUT OUT THE SMOLDERING FLAMES FROM THAT PART ALSO. THE VEHICLE WAS TOWED BACK TO THE DEALER. THE VEHICLE HAS BEEN THERE SINCE WITH THE DEALER SENDING PICTURES TO THE MANUFACTURER BUT THEY HAD NOT RESPONDED. THEY SUGGESTED I TO CALL THE MANUFACTURER BUT THEY OFFERED NO HELP IN GETTING THE REPAIRS DONE. THE DEALER HAS BEEN WAITING ON THE MANUFACTURER SINCE BUT THEY HAVE BEEN YET RESPONDED. THE VEHICLE STILL REMAINS AT THE DEALER UNREPAIRED WITH NO PROGRESS BEING MADE. *DT*JB*DT*JB</t>
  </si>
  <si>
    <t>while driving 50 MPH, the transmission unexpectedly downshifted and the powertrain warning light came on. The transmission was stuck between third and fifth gear. In addition, the transmission failed to shift from park to drive until the vehicle was turned off. The failure was a persistent failure. I took the vehicle to the dealer, and a portable scanner was attached; DTCs P0722 and P061A were retrieved. I received notification of recall (Power Train). I was told that the failure codes were not the required failure codes associated with the recall.</t>
  </si>
  <si>
    <t>We had our truck in SEVERAL times when under warranty for repair because the truck back axle was jumping and jerking at low speeds (30-40). of course our luck, they can't find anything wrong. then it goes out of warranty and the back right axle goes out and it is undriveable. We repair it at an expense of 1400.00 in 2024 and now the other back axle went out and it cost 1200.00. Talking with other Ford owners and mechanics, this is a known issue and Ford isn't doing anything about it. Is there any help we can get in matter, Ford says there isn't.</t>
  </si>
  <si>
    <t>Rear axle shafts failed on both sides after jerking at low speed; no bolt mentioned.</t>
  </si>
  <si>
    <t>she noticed a crack was formed at the bottom of the windshield. Upon taking the vehicle to a dealer for an oil change, the mechanic informed her that several cracks had formed at the bottom of the windshield. The mechanic also stated that there was an unknown recall for the failure; however, the VIN was not included. the cracks had expanded vertically on both sides of the windshield, obstructing the driver's vision.</t>
  </si>
  <si>
    <t>Cracks spreading across the bottom of the windshield, nothing about trim.</t>
  </si>
  <si>
    <t>Car began to run rough as if it had bad gas and the engine would not idle smoothly. When I got into the vehicle the next day the instrument panel flashed lights and the vehicle stalled. I had it towed to the repair shop thinking it was overheating due to a bad thermostat. I was told that the engine coolant was leaking into cylinder 4 of the engine and I would have to replace the engine.</t>
  </si>
  <si>
    <t>My backup and 360 camera repeatedly fails. It maybe works 1% of the time. Ford is aware and has no resolution for the problem.</t>
  </si>
  <si>
    <t>About a year after I purchased the truck, the transmission started shifting extremely hard on occasion making a loud bang and the truck lunges on the shift. The truck shifts so hard on occasions that it sounds like it could explode. Transmission failure could cause numerous safety issues for myself, passengers and other drivers; flying parts sudden stop and/or loss of control while driving to mention a few. I have mentioned the shifting problem on at least two occasions when the truck has been at a Ford dealership for regular maintenance but I was told it not shift hard for them and that nothing is wrong with it. I am 71 years old and worked on vehicles all my life and the occasional extremely hard shifting is not normal and is an indicator to me that something is not right. No warning lights come on prior to, during or after the hard shift to my knowledge. I have read numerous complaints by other the vehicle owners, recalls to repair Gen 1 trannys and in a lot of instances the Gen1 transmission was replaced with Gen 2. I would prefer a “new” transmission. Thank you.</t>
  </si>
  <si>
    <t>@ The door locks are not opening from the outside. The battery will not charge. I cannot get my items out. I have a work &amp; personal electronics, along with personal items for myself &amp; my family, inside that I cannot access. It's early Sunday morning, I am over 3 hours away from home, in Corpus Christi, with my brother &amp; nephew, along with both of my Dogs. The ford dealerships in this city will not be open until Monday. The plan was to stay for a night &amp; drive back home, as both myself &amp; brother have to work on Monday. I am a therapist (Psychotherapist) with critical clients, &amp; this is problematic. This is NOT the 1st or 2ND time I had an issue like this. This is actually the 3RD time, but the last time I dealt with this, the dealership had no recollection or documentation of a bad battery or battery issues; however, that IS what I was told the first time, but when I picked it up, I was told they just FIXED something, with the battery. The 2nd time, the doors locked up, the battery would not charge &amp; I had it towed to the same dealership, that it was purchased from, from my home of Giddings, TX to College Station, TX, &amp; I was told, I needed a whole new Battery replacement. The car was purchased brand new with approximately 11 miles in October/November of 2024, &amp; it currently has between 7000-8000 (I do not remember the total amount, but it has over 7,000, but less than 8,000). Fast forward to roadside giving me a hard time for having to bring a device to charge the battery to open it, leaving, &amp; cutting my wrist, while grabbing things out of the vehicle, between the seat &amp; center console, as my hand got stuck, &amp; I forgot the seat could not move without any electric charge (there is a JAGGED edge in between that it's dangerous for ANYONE, &amp; it's hidden by a cloth flap). I also had to pay for a rental vehicle despite having this service, when the dealership opened, for 2 days).</t>
  </si>
  <si>
    <t>Car dead and locked because the battery will not charge; likely 12V but the text does not say.</t>
  </si>
  <si>
    <t>MY VEHICLE IS SHOWING SYMPTOMS OF A CLUTCH ISSUE THAT HAS BEEN ACKNOWLEDGED BY FORD. DEALER SAID THIS IS EXACTLY THE ISSUE BUT CANT COVER IT UNDER THE WARRANTY BECAUSE ITS PAST 7 YEAR. THE CAR IS UNDER 100K MILES SO I FEEL THIS SHOULD STILL BE ADDRESSED.</t>
  </si>
  <si>
    <t>while the vehicle was parked, I noticed that the electrical system was inoperable. the control panel did not display any connected features. Additionally, the control switches for the doors and the windows were inoperable, and the doors failed to lock or unlock as needed. the windows also failed to roll up or roll down. The vehicle was taken back to the dealer several times where the vehicle was purchased; however, the vehicle was not serviced.</t>
  </si>
  <si>
    <t>Non hybrid with dead electrics while parked (locks, windows, display); no HV battery.</t>
  </si>
  <si>
    <t>the vehicle failed to release from park while reversing. The vehicle continued to roll. The vehicle was towed to the local dealer where they found the shifter cable bushing needed to be replaced. the failure was related to recall (Power Train).</t>
  </si>
  <si>
    <t>SEVERE WOBBLE IN FRONT SUSPENSION WHILE DRIVING AT HIGHWAY SPEEDS</t>
  </si>
  <si>
    <t>while driving on several occasions at various speeds, or while the vehicle was parked, I observed an abnormal gasoline odor in the vehicle. Additionally, while driving the vehicle lost power while attempting to accelerate, with the check engine warning light came on. Additionally, a "Turbo Boost" message was displayed. I took the vehicle to an independent mechanic who discovered a fuel leak. I was told that either the fuel tank or fuel lines needed to be replaced.</t>
  </si>
  <si>
    <t>Fuel odor or fuel tank leak</t>
  </si>
  <si>
    <t>Owners detect strong gasoline odor inside and outside the vehicle due to fuel leaks.</t>
  </si>
  <si>
    <t>Coolant entering the cylinder Wouldn't allow us to drive car home Convinced us to purchase a new vehicle.</t>
  </si>
  <si>
    <t>On i was traveling on coming home from Nashville, TN the cruise control was set at approx 75mph, my truck was in 10th gear. I suddenly heard a loud clunk , looked at the instrument cluster and the gear indicator showed i was in 3rd gear, I promptly pulled over and stopped to inspect for any type of damage. There was none so i proceeded to a nearby exit and gas station, put the truck in park, shut it off for a more thorough inspection. Nothing was found so i cautiously proceeded the remaining 75 miles to my home, i have not had that issue again, yet. the vehicle , 85,000 miles. One owner vehicle.</t>
  </si>
  <si>
    <t>Clunk and the gear display dropped from 10th to 3rd at 75 mph; nothing about the differential.</t>
  </si>
  <si>
    <t>while reversing the vehicle, the rearview camera turned off. the rearview camera and instrument cluster would turn off intermittently. Additionally, upon moving the gear shifter into reverse(R), the vehicle failed to respond, and the reverse(R) indicator light failed to illuminate. the vehicle hesitated to respond while driving from a complete stop. Additionally, while driving the vehicle failed to shift into a lower or higher gear. the powertrain and check engine warning lights had been came on. I took the vehicle to a local Pep Boys, where they found the transmission range sensor (TRS) had failed. The vehicle was then taken to an independent mechanic, where they found the failure was related to recall (Power Train, Exterior Lighting), and I was referred to the dealer.</t>
  </si>
  <si>
    <t>Transmission range sensor failed: no reverse, no shifting, camera and cluster cut out.</t>
  </si>
  <si>
    <t>AWD module fails causing safety system loss</t>
  </si>
  <si>
    <t>Audio system speakers emit loud static</t>
  </si>
  <si>
    <t>Canister purge valve fails after refueling</t>
  </si>
  <si>
    <t>Door ajar sensor falsely triggers lock failure</t>
  </si>
  <si>
    <t>Door latch freezes in cold weather</t>
  </si>
  <si>
    <t>Engine shuts off with 'stop safely now' warning</t>
  </si>
  <si>
    <t>Exhaust manifold studs warp and break</t>
  </si>
  <si>
    <t>Frame and subframe rust through</t>
  </si>
  <si>
    <t>Front and rear suspension springs break</t>
  </si>
  <si>
    <t>Fuel pump and purge valve fail causing stalls</t>
  </si>
  <si>
    <t>Hood paint peels and corrodes</t>
  </si>
  <si>
    <t>Instrument cluster screen goes blank</t>
  </si>
  <si>
    <t>Rear brake pads squeal during reverse</t>
  </si>
  <si>
    <t>Throttle body failure causes limp mode</t>
  </si>
  <si>
    <t>Tire tread separation and sidewall cracks</t>
  </si>
  <si>
    <t>Water intrusion in tail light assemblies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</si>
</sst>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2"/>
      <name val="Arial"/>
      <family val="2"/>
      <charset val="238"/>
    </font>
    <font>
      <sz val="11"/>
      <name val="Arial"/>
      <family val="2"/>
      <charset val="238"/>
    </font>
    <font>
      <i/>
      <sz val="10"/>
      <name val="Arial"/>
      <family val="2"/>
      <charset val="238"/>
    </font>
    <font>
      <sz val="10"/>
      <name val="Arial"/>
      <family val="2"/>
      <charset val="238"/>
    </font>
    <font>
      <b/>
      <sz val="10"/>
      <name val="Arial"/>
      <family val="2"/>
      <charset val="238"/>
    </font>
    <font>
      <b/>
      <sz val="11"/>
      <color rgb="FFFFFFFF"/>
      <name val="Arial"/>
      <family val="2"/>
      <charset val="238"/>
    </font>
  </fonts>
  <fills count="4">
    <fill>
      <patternFill patternType="none"/>
    </fill>
    <fill>
      <patternFill patternType="gray125"/>
    </fill>
    <fill>
      <patternFill patternType="solid">
        <fgColor rgb="FF1F3A4D"/>
        <bgColor rgb="FF003366"/>
      </patternFill>
    </fill>
    <fill>
      <patternFill patternType="solid">
        <fgColor rgb="FFFFF4C2"/>
        <bgColor rgb="FFFFFF99"/>
      </patternFill>
    </fill>
  </fills>
  <borders count="2">
    <border>
      <left/>
      <right/>
      <top/>
      <bottom/>
      <diagonal/>
    </border>
    <border>
      <left/>
      <right/>
      <top/>
      <bottom style="thin">
        <color rgb="FFD0D5DD"/>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horizontal="left"/>
    </xf>
    <xf numFmtId="0" fontId="6" fillId="2" borderId="0" xfId="0" applyFont="1" applyFill="1" applyAlignment="1">
      <alignment vertical="center" wrapText="1"/>
    </xf>
    <xf numFmtId="0" fontId="4" fillId="0" borderId="1" xfId="0" applyFont="1" applyBorder="1" applyAlignment="1">
      <alignment vertical="top"/>
    </xf>
    <xf numFmtId="0" fontId="4" fillId="0" borderId="1" xfId="0" applyFont="1" applyBorder="1" applyAlignment="1">
      <alignment vertical="top" wrapText="1"/>
    </xf>
    <xf numFmtId="0" fontId="5"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2"/>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zoomScaleNormal="100" workbookViewId="0"/>
  </sheetViews>
  <sheetFormatPr defaultColWidth="8.7109375" defaultRowHeight="15" x14ac:dyDescent="0.25"/>
  <cols>
    <col min="1" max="1" width="120" customWidth="1"/>
    <col min="2" max="2" width="14" customWidth="1"/>
  </cols>
  <sheetData>
    <row r="1" spans="1:1" ht="15" customHeight="1" x14ac:dyDescent="0.25">
      <c r="A1" s="1" t="s">
        <v>0</v>
      </c>
    </row>
    <row r="2" spans="1:1" ht="15" customHeight="1" x14ac:dyDescent="0.25">
      <c r="A2" s="2"/>
    </row>
    <row r="3" spans="1:1" ht="15" customHeight="1" x14ac:dyDescent="0.25">
      <c r="A3" s="2" t="s">
        <v>1</v>
      </c>
    </row>
    <row r="4" spans="1:1" ht="15" customHeight="1" x14ac:dyDescent="0.25">
      <c r="A4" s="2" t="s">
        <v>2</v>
      </c>
    </row>
    <row r="5" spans="1:1" ht="15" customHeight="1" x14ac:dyDescent="0.25">
      <c r="A5" s="2"/>
    </row>
    <row r="6" spans="1:1" ht="15" customHeight="1" x14ac:dyDescent="0.25">
      <c r="A6" s="1" t="s">
        <v>3</v>
      </c>
    </row>
    <row r="7" spans="1:1" ht="15" customHeight="1" x14ac:dyDescent="0.25">
      <c r="A7" s="2" t="s">
        <v>4</v>
      </c>
    </row>
    <row r="8" spans="1:1" ht="15" customHeight="1" x14ac:dyDescent="0.25">
      <c r="A8" s="2" t="s">
        <v>5</v>
      </c>
    </row>
    <row r="9" spans="1:1" ht="15" customHeight="1" x14ac:dyDescent="0.25">
      <c r="A9" s="2" t="s">
        <v>6</v>
      </c>
    </row>
    <row r="10" spans="1:1" ht="15" customHeight="1" x14ac:dyDescent="0.25">
      <c r="A10" s="2"/>
    </row>
    <row r="11" spans="1:1" ht="15" customHeight="1" x14ac:dyDescent="0.25">
      <c r="A11" s="2" t="s">
        <v>7</v>
      </c>
    </row>
    <row r="12" spans="1:1" ht="15" customHeight="1" x14ac:dyDescent="0.25">
      <c r="A12" s="2" t="s">
        <v>8</v>
      </c>
    </row>
    <row r="13" spans="1:1" ht="15" customHeight="1" x14ac:dyDescent="0.25">
      <c r="A13" s="2" t="s">
        <v>9</v>
      </c>
    </row>
    <row r="14" spans="1:1" ht="15" customHeight="1" x14ac:dyDescent="0.25">
      <c r="A14" s="2"/>
    </row>
    <row r="15" spans="1:1" ht="15" customHeight="1" x14ac:dyDescent="0.25">
      <c r="A15" s="1" t="s">
        <v>10</v>
      </c>
    </row>
    <row r="16" spans="1:1" ht="15" customHeight="1" x14ac:dyDescent="0.25">
      <c r="A16" s="3" t="s">
        <v>11</v>
      </c>
    </row>
    <row r="17" spans="1:2" ht="15" customHeight="1" x14ac:dyDescent="0.25">
      <c r="A17" s="3" t="s">
        <v>12</v>
      </c>
    </row>
    <row r="18" spans="1:2" ht="15" customHeight="1" x14ac:dyDescent="0.25">
      <c r="A18" s="3" t="s">
        <v>13</v>
      </c>
    </row>
    <row r="20" spans="1:2" ht="15" customHeight="1" x14ac:dyDescent="0.25">
      <c r="A20" s="1" t="s">
        <v>14</v>
      </c>
    </row>
    <row r="21" spans="1:2" ht="15" customHeight="1" x14ac:dyDescent="0.25">
      <c r="A21" s="4" t="s">
        <v>15</v>
      </c>
      <c r="B21" s="5" t="str">
        <f>COUNTA(Review!G2:G201)&amp;" of 200"</f>
        <v>200 of 200</v>
      </c>
    </row>
    <row r="22" spans="1:2" ht="15" customHeight="1" x14ac:dyDescent="0.25">
      <c r="A22" s="4" t="s">
        <v>16</v>
      </c>
      <c r="B22" s="5">
        <f>COUNTIF(Review!G2:G201,"Correct")</f>
        <v>134</v>
      </c>
    </row>
    <row r="23" spans="1:2" ht="15" customHeight="1" x14ac:dyDescent="0.25">
      <c r="A23" s="4" t="s">
        <v>17</v>
      </c>
      <c r="B23" s="5">
        <f>COUNTIF(Review!G2:G201,"Partly")</f>
        <v>50</v>
      </c>
    </row>
    <row r="24" spans="1:2" ht="15" customHeight="1" x14ac:dyDescent="0.25">
      <c r="A24" s="4" t="s">
        <v>18</v>
      </c>
      <c r="B24" s="5">
        <f>COUNTIF(Review!G2:G201,"Wrong")</f>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1"/>
  <sheetViews>
    <sheetView tabSelected="1" zoomScaleNormal="100" workbookViewId="0">
      <pane ySplit="1" topLeftCell="A2" activePane="bottomLeft" state="frozen"/>
      <selection pane="bottomLeft" activeCell="D2" sqref="D2"/>
    </sheetView>
  </sheetViews>
  <sheetFormatPr defaultColWidth="8.7109375" defaultRowHeight="15" x14ac:dyDescent="0.25"/>
  <cols>
    <col min="1" max="1" width="5" customWidth="1"/>
    <col min="2" max="2" width="12" customWidth="1"/>
    <col min="3" max="3" width="7" customWidth="1"/>
    <col min="4" max="4" width="80" customWidth="1"/>
    <col min="5" max="5" width="30" customWidth="1"/>
    <col min="6" max="6" width="36" customWidth="1"/>
    <col min="7" max="7" width="11" customWidth="1"/>
    <col min="8" max="8" width="30" customWidth="1"/>
    <col min="9" max="9" width="24" customWidth="1"/>
  </cols>
  <sheetData>
    <row r="1" spans="1:9" ht="15" customHeight="1" x14ac:dyDescent="0.25">
      <c r="A1" s="6" t="s">
        <v>19</v>
      </c>
      <c r="B1" s="6" t="s">
        <v>20</v>
      </c>
      <c r="C1" s="6" t="s">
        <v>21</v>
      </c>
      <c r="D1" s="6" t="s">
        <v>22</v>
      </c>
      <c r="E1" s="6" t="s">
        <v>23</v>
      </c>
      <c r="F1" s="6" t="s">
        <v>24</v>
      </c>
      <c r="G1" s="6" t="s">
        <v>3</v>
      </c>
      <c r="H1" s="6" t="s">
        <v>25</v>
      </c>
      <c r="I1" s="6" t="s">
        <v>26</v>
      </c>
    </row>
    <row r="2" spans="1:9" ht="79.5" customHeight="1" x14ac:dyDescent="0.25">
      <c r="A2" s="7">
        <v>1</v>
      </c>
      <c r="B2" s="7" t="s">
        <v>27</v>
      </c>
      <c r="C2" s="7">
        <v>2023</v>
      </c>
      <c r="D2" s="8" t="s">
        <v>28</v>
      </c>
      <c r="E2" s="9" t="s">
        <v>29</v>
      </c>
      <c r="F2" s="8" t="s">
        <v>30</v>
      </c>
      <c r="G2" s="10" t="s">
        <v>18</v>
      </c>
      <c r="H2" s="11" t="s">
        <v>31</v>
      </c>
      <c r="I2" s="11" t="s">
        <v>32</v>
      </c>
    </row>
    <row r="3" spans="1:9" ht="45.75" customHeight="1" x14ac:dyDescent="0.25">
      <c r="A3" s="7">
        <v>2</v>
      </c>
      <c r="B3" s="7" t="s">
        <v>33</v>
      </c>
      <c r="C3" s="7">
        <v>2020</v>
      </c>
      <c r="D3" s="8" t="s">
        <v>34</v>
      </c>
      <c r="E3" s="9" t="s">
        <v>35</v>
      </c>
      <c r="F3" s="8" t="s">
        <v>36</v>
      </c>
      <c r="G3" s="10" t="s">
        <v>17</v>
      </c>
      <c r="H3" s="11" t="s">
        <v>37</v>
      </c>
      <c r="I3" s="11" t="s">
        <v>38</v>
      </c>
    </row>
    <row r="4" spans="1:9" ht="34.5" customHeight="1" x14ac:dyDescent="0.25">
      <c r="A4" s="7">
        <v>3</v>
      </c>
      <c r="B4" s="7" t="s">
        <v>39</v>
      </c>
      <c r="C4" s="7">
        <v>2015</v>
      </c>
      <c r="D4" s="8" t="s">
        <v>40</v>
      </c>
      <c r="E4" s="9" t="s">
        <v>41</v>
      </c>
      <c r="F4" s="8" t="s">
        <v>42</v>
      </c>
      <c r="G4" s="10" t="s">
        <v>16</v>
      </c>
      <c r="H4" s="11"/>
      <c r="I4" s="11"/>
    </row>
    <row r="5" spans="1:9" ht="68.25" customHeight="1" x14ac:dyDescent="0.25">
      <c r="A5" s="7">
        <v>4</v>
      </c>
      <c r="B5" s="7" t="s">
        <v>43</v>
      </c>
      <c r="C5" s="7">
        <v>2011</v>
      </c>
      <c r="D5" s="8" t="s">
        <v>44</v>
      </c>
      <c r="E5" s="9" t="s">
        <v>45</v>
      </c>
      <c r="F5" s="8" t="s">
        <v>46</v>
      </c>
      <c r="G5" s="10" t="s">
        <v>17</v>
      </c>
      <c r="H5" s="11" t="s">
        <v>47</v>
      </c>
      <c r="I5" s="11" t="s">
        <v>48</v>
      </c>
    </row>
    <row r="6" spans="1:9" ht="90.75" customHeight="1" x14ac:dyDescent="0.25">
      <c r="A6" s="7">
        <v>5</v>
      </c>
      <c r="B6" s="7" t="s">
        <v>49</v>
      </c>
      <c r="C6" s="7">
        <v>2021</v>
      </c>
      <c r="D6" s="8" t="s">
        <v>50</v>
      </c>
      <c r="E6" s="9" t="s">
        <v>35</v>
      </c>
      <c r="F6" s="8" t="s">
        <v>36</v>
      </c>
      <c r="G6" s="10" t="s">
        <v>16</v>
      </c>
      <c r="H6" s="11"/>
      <c r="I6" s="11"/>
    </row>
    <row r="7" spans="1:9" ht="34.5" customHeight="1" x14ac:dyDescent="0.25">
      <c r="A7" s="7">
        <v>6</v>
      </c>
      <c r="B7" s="7" t="s">
        <v>51</v>
      </c>
      <c r="C7" s="7">
        <v>2013</v>
      </c>
      <c r="D7" s="8" t="s">
        <v>52</v>
      </c>
      <c r="E7" s="9" t="s">
        <v>53</v>
      </c>
      <c r="F7" s="8" t="s">
        <v>54</v>
      </c>
      <c r="G7" s="10" t="s">
        <v>16</v>
      </c>
      <c r="H7" s="11"/>
      <c r="I7" s="11"/>
    </row>
    <row r="8" spans="1:9" ht="34.5" customHeight="1" x14ac:dyDescent="0.25">
      <c r="A8" s="7">
        <v>7</v>
      </c>
      <c r="B8" s="7" t="s">
        <v>55</v>
      </c>
      <c r="C8" s="7">
        <v>2013</v>
      </c>
      <c r="D8" s="8" t="s">
        <v>56</v>
      </c>
      <c r="E8" s="9" t="s">
        <v>57</v>
      </c>
      <c r="F8" s="8" t="s">
        <v>58</v>
      </c>
      <c r="G8" s="10" t="s">
        <v>16</v>
      </c>
      <c r="H8" s="11"/>
      <c r="I8" s="11"/>
    </row>
    <row r="9" spans="1:9" ht="102" customHeight="1" x14ac:dyDescent="0.25">
      <c r="A9" s="7">
        <v>8</v>
      </c>
      <c r="B9" s="7" t="s">
        <v>55</v>
      </c>
      <c r="C9" s="7">
        <v>2014</v>
      </c>
      <c r="D9" s="8" t="s">
        <v>59</v>
      </c>
      <c r="E9" s="9" t="s">
        <v>60</v>
      </c>
      <c r="F9" s="8" t="s">
        <v>61</v>
      </c>
      <c r="G9" s="10" t="s">
        <v>16</v>
      </c>
      <c r="H9" s="11"/>
      <c r="I9" s="11"/>
    </row>
    <row r="10" spans="1:9" ht="45.75" customHeight="1" x14ac:dyDescent="0.25">
      <c r="A10" s="7">
        <v>9</v>
      </c>
      <c r="B10" s="7" t="s">
        <v>51</v>
      </c>
      <c r="C10" s="7">
        <v>2017</v>
      </c>
      <c r="D10" s="8" t="s">
        <v>62</v>
      </c>
      <c r="E10" s="9" t="s">
        <v>37</v>
      </c>
      <c r="F10" s="8" t="s">
        <v>63</v>
      </c>
      <c r="G10" s="10" t="s">
        <v>16</v>
      </c>
      <c r="H10" s="11"/>
      <c r="I10" s="11" t="s">
        <v>64</v>
      </c>
    </row>
    <row r="11" spans="1:9" ht="23.25" customHeight="1" x14ac:dyDescent="0.25">
      <c r="A11" s="7">
        <v>10</v>
      </c>
      <c r="B11" s="7" t="s">
        <v>65</v>
      </c>
      <c r="C11" s="7">
        <v>2019</v>
      </c>
      <c r="D11" s="8" t="s">
        <v>66</v>
      </c>
      <c r="E11" s="9" t="s">
        <v>37</v>
      </c>
      <c r="F11" s="8" t="s">
        <v>63</v>
      </c>
      <c r="G11" s="10" t="s">
        <v>17</v>
      </c>
      <c r="H11" s="11"/>
      <c r="I11" s="11" t="s">
        <v>67</v>
      </c>
    </row>
    <row r="12" spans="1:9" ht="34.5" customHeight="1" x14ac:dyDescent="0.25">
      <c r="A12" s="7">
        <v>11</v>
      </c>
      <c r="B12" s="7" t="s">
        <v>68</v>
      </c>
      <c r="C12" s="7">
        <v>2024</v>
      </c>
      <c r="D12" s="8" t="s">
        <v>69</v>
      </c>
      <c r="E12" s="9" t="s">
        <v>70</v>
      </c>
      <c r="F12" s="8" t="s">
        <v>71</v>
      </c>
      <c r="G12" s="10" t="s">
        <v>16</v>
      </c>
      <c r="H12" s="11"/>
      <c r="I12" s="11"/>
    </row>
    <row r="13" spans="1:9" ht="236.25" customHeight="1" x14ac:dyDescent="0.25">
      <c r="A13" s="7">
        <v>12</v>
      </c>
      <c r="B13" s="7" t="s">
        <v>72</v>
      </c>
      <c r="C13" s="7">
        <v>2013</v>
      </c>
      <c r="D13" s="8" t="s">
        <v>73</v>
      </c>
      <c r="E13" s="9" t="s">
        <v>74</v>
      </c>
      <c r="F13" s="8" t="s">
        <v>75</v>
      </c>
      <c r="G13" s="10" t="s">
        <v>17</v>
      </c>
      <c r="H13" s="11" t="s">
        <v>37</v>
      </c>
      <c r="I13" s="11" t="s">
        <v>76</v>
      </c>
    </row>
    <row r="14" spans="1:9" ht="68.25" customHeight="1" x14ac:dyDescent="0.25">
      <c r="A14" s="7">
        <v>13</v>
      </c>
      <c r="B14" s="7" t="s">
        <v>77</v>
      </c>
      <c r="C14" s="7">
        <v>2024</v>
      </c>
      <c r="D14" s="8" t="s">
        <v>78</v>
      </c>
      <c r="E14" s="9" t="s">
        <v>35</v>
      </c>
      <c r="F14" s="8" t="s">
        <v>36</v>
      </c>
      <c r="G14" s="10" t="s">
        <v>17</v>
      </c>
      <c r="H14" s="11" t="s">
        <v>37</v>
      </c>
      <c r="I14" s="11" t="s">
        <v>79</v>
      </c>
    </row>
    <row r="15" spans="1:9" ht="79.5" customHeight="1" x14ac:dyDescent="0.25">
      <c r="A15" s="7">
        <v>14</v>
      </c>
      <c r="B15" s="7" t="s">
        <v>51</v>
      </c>
      <c r="C15" s="7">
        <v>2022</v>
      </c>
      <c r="D15" s="8" t="s">
        <v>80</v>
      </c>
      <c r="E15" s="9" t="s">
        <v>81</v>
      </c>
      <c r="F15" s="8" t="s">
        <v>82</v>
      </c>
      <c r="G15" s="10" t="s">
        <v>17</v>
      </c>
      <c r="H15" s="11" t="s">
        <v>83</v>
      </c>
      <c r="I15" s="11" t="s">
        <v>84</v>
      </c>
    </row>
    <row r="16" spans="1:9" ht="68.25" customHeight="1" x14ac:dyDescent="0.25">
      <c r="A16" s="7">
        <v>15</v>
      </c>
      <c r="B16" s="7" t="s">
        <v>33</v>
      </c>
      <c r="C16" s="7">
        <v>2022</v>
      </c>
      <c r="D16" s="8" t="s">
        <v>85</v>
      </c>
      <c r="E16" s="9" t="s">
        <v>81</v>
      </c>
      <c r="F16" s="8" t="s">
        <v>82</v>
      </c>
      <c r="G16" s="10" t="s">
        <v>17</v>
      </c>
      <c r="H16" s="11" t="s">
        <v>86</v>
      </c>
      <c r="I16" s="11" t="s">
        <v>87</v>
      </c>
    </row>
    <row r="17" spans="1:9" ht="45.75" customHeight="1" x14ac:dyDescent="0.25">
      <c r="A17" s="7">
        <v>16</v>
      </c>
      <c r="B17" s="7" t="s">
        <v>88</v>
      </c>
      <c r="C17" s="7">
        <v>2009</v>
      </c>
      <c r="D17" s="8" t="s">
        <v>89</v>
      </c>
      <c r="E17" s="9" t="s">
        <v>90</v>
      </c>
      <c r="F17" s="8" t="s">
        <v>91</v>
      </c>
      <c r="G17" s="10" t="s">
        <v>16</v>
      </c>
      <c r="H17" s="11"/>
      <c r="I17" s="11"/>
    </row>
    <row r="18" spans="1:9" ht="68.25" customHeight="1" x14ac:dyDescent="0.25">
      <c r="A18" s="7">
        <v>17</v>
      </c>
      <c r="B18" s="7" t="s">
        <v>65</v>
      </c>
      <c r="C18" s="7">
        <v>2020</v>
      </c>
      <c r="D18" s="8" t="s">
        <v>92</v>
      </c>
      <c r="E18" s="9" t="s">
        <v>93</v>
      </c>
      <c r="F18" s="8" t="s">
        <v>94</v>
      </c>
      <c r="G18" s="10" t="s">
        <v>17</v>
      </c>
      <c r="H18" s="11" t="s">
        <v>31</v>
      </c>
      <c r="I18" s="11" t="s">
        <v>95</v>
      </c>
    </row>
    <row r="19" spans="1:9" ht="147" customHeight="1" x14ac:dyDescent="0.25">
      <c r="A19" s="7">
        <v>18</v>
      </c>
      <c r="B19" s="7" t="s">
        <v>49</v>
      </c>
      <c r="C19" s="7">
        <v>2017</v>
      </c>
      <c r="D19" s="8" t="s">
        <v>96</v>
      </c>
      <c r="E19" s="9" t="s">
        <v>74</v>
      </c>
      <c r="F19" s="8" t="s">
        <v>75</v>
      </c>
      <c r="G19" s="10" t="s">
        <v>16</v>
      </c>
      <c r="H19" s="11"/>
      <c r="I19" s="11" t="s">
        <v>97</v>
      </c>
    </row>
    <row r="20" spans="1:9" ht="34.5" customHeight="1" x14ac:dyDescent="0.25">
      <c r="A20" s="7">
        <v>19</v>
      </c>
      <c r="B20" s="7" t="s">
        <v>98</v>
      </c>
      <c r="C20" s="7">
        <v>2003</v>
      </c>
      <c r="D20" s="8" t="s">
        <v>99</v>
      </c>
      <c r="E20" s="9" t="s">
        <v>100</v>
      </c>
      <c r="F20" s="8" t="s">
        <v>101</v>
      </c>
      <c r="G20" s="10" t="s">
        <v>16</v>
      </c>
      <c r="H20" s="11"/>
      <c r="I20" s="11"/>
    </row>
    <row r="21" spans="1:9" ht="45.75" customHeight="1" x14ac:dyDescent="0.25">
      <c r="A21" s="7">
        <v>20</v>
      </c>
      <c r="B21" s="7" t="s">
        <v>102</v>
      </c>
      <c r="C21" s="7">
        <v>2003</v>
      </c>
      <c r="D21" s="8" t="s">
        <v>103</v>
      </c>
      <c r="E21" s="9" t="s">
        <v>81</v>
      </c>
      <c r="F21" s="8" t="s">
        <v>82</v>
      </c>
      <c r="G21" s="10" t="s">
        <v>17</v>
      </c>
      <c r="H21" s="11"/>
      <c r="I21" s="11" t="s">
        <v>104</v>
      </c>
    </row>
    <row r="22" spans="1:9" ht="135.75" customHeight="1" x14ac:dyDescent="0.25">
      <c r="A22" s="7">
        <v>21</v>
      </c>
      <c r="B22" s="7" t="s">
        <v>51</v>
      </c>
      <c r="C22" s="7">
        <v>2013</v>
      </c>
      <c r="D22" s="8" t="s">
        <v>105</v>
      </c>
      <c r="E22" s="9" t="s">
        <v>106</v>
      </c>
      <c r="F22" s="8" t="s">
        <v>107</v>
      </c>
      <c r="G22" s="10" t="s">
        <v>16</v>
      </c>
      <c r="H22" s="11"/>
      <c r="I22" s="11"/>
    </row>
    <row r="23" spans="1:9" ht="57" customHeight="1" x14ac:dyDescent="0.25">
      <c r="A23" s="7">
        <v>22</v>
      </c>
      <c r="B23" s="7" t="s">
        <v>108</v>
      </c>
      <c r="C23" s="7">
        <v>2016</v>
      </c>
      <c r="D23" s="8" t="s">
        <v>109</v>
      </c>
      <c r="E23" s="9" t="s">
        <v>45</v>
      </c>
      <c r="F23" s="8" t="s">
        <v>46</v>
      </c>
      <c r="G23" s="10" t="s">
        <v>17</v>
      </c>
      <c r="H23" s="11" t="s">
        <v>110</v>
      </c>
      <c r="I23" s="11" t="s">
        <v>111</v>
      </c>
    </row>
    <row r="24" spans="1:9" ht="23.25" customHeight="1" x14ac:dyDescent="0.25">
      <c r="A24" s="7">
        <v>23</v>
      </c>
      <c r="B24" s="7" t="s">
        <v>112</v>
      </c>
      <c r="C24" s="7">
        <v>2008</v>
      </c>
      <c r="D24" s="8" t="s">
        <v>113</v>
      </c>
      <c r="E24" s="9" t="s">
        <v>114</v>
      </c>
      <c r="F24" s="8" t="s">
        <v>115</v>
      </c>
      <c r="G24" s="10" t="s">
        <v>17</v>
      </c>
      <c r="H24" s="11" t="s">
        <v>116</v>
      </c>
      <c r="I24" s="11" t="s">
        <v>117</v>
      </c>
    </row>
    <row r="25" spans="1:9" ht="68.25" customHeight="1" x14ac:dyDescent="0.25">
      <c r="A25" s="7">
        <v>24</v>
      </c>
      <c r="B25" s="7" t="s">
        <v>51</v>
      </c>
      <c r="C25" s="7">
        <v>2016</v>
      </c>
      <c r="D25" s="8" t="s">
        <v>118</v>
      </c>
      <c r="E25" s="9" t="s">
        <v>119</v>
      </c>
      <c r="F25" s="8" t="s">
        <v>120</v>
      </c>
      <c r="G25" s="10" t="s">
        <v>16</v>
      </c>
      <c r="H25" s="11"/>
      <c r="I25" s="11"/>
    </row>
    <row r="26" spans="1:9" ht="79.5" customHeight="1" x14ac:dyDescent="0.25">
      <c r="A26" s="7">
        <v>25</v>
      </c>
      <c r="B26" s="7" t="s">
        <v>33</v>
      </c>
      <c r="C26" s="7">
        <v>2014</v>
      </c>
      <c r="D26" s="8" t="s">
        <v>121</v>
      </c>
      <c r="E26" s="9" t="s">
        <v>122</v>
      </c>
      <c r="F26" s="8" t="s">
        <v>123</v>
      </c>
      <c r="G26" s="10" t="s">
        <v>16</v>
      </c>
      <c r="H26" s="11"/>
      <c r="I26" s="11"/>
    </row>
    <row r="27" spans="1:9" ht="34.5" customHeight="1" x14ac:dyDescent="0.25">
      <c r="A27" s="7">
        <v>26</v>
      </c>
      <c r="B27" s="7" t="s">
        <v>51</v>
      </c>
      <c r="C27" s="7">
        <v>2013</v>
      </c>
      <c r="D27" s="8" t="s">
        <v>124</v>
      </c>
      <c r="E27" s="9" t="s">
        <v>106</v>
      </c>
      <c r="F27" s="8" t="s">
        <v>107</v>
      </c>
      <c r="G27" s="10" t="s">
        <v>16</v>
      </c>
      <c r="H27" s="11"/>
      <c r="I27" s="11"/>
    </row>
    <row r="28" spans="1:9" ht="34.5" customHeight="1" x14ac:dyDescent="0.25">
      <c r="A28" s="7">
        <v>27</v>
      </c>
      <c r="B28" s="7" t="s">
        <v>65</v>
      </c>
      <c r="C28" s="7">
        <v>2014</v>
      </c>
      <c r="D28" s="8" t="s">
        <v>125</v>
      </c>
      <c r="E28" s="9" t="s">
        <v>37</v>
      </c>
      <c r="F28" s="8" t="s">
        <v>63</v>
      </c>
      <c r="G28" s="10" t="s">
        <v>16</v>
      </c>
      <c r="H28" s="11"/>
      <c r="I28" s="11"/>
    </row>
    <row r="29" spans="1:9" ht="270" customHeight="1" x14ac:dyDescent="0.25">
      <c r="A29" s="7">
        <v>28</v>
      </c>
      <c r="B29" s="7" t="s">
        <v>33</v>
      </c>
      <c r="C29" s="7">
        <v>2011</v>
      </c>
      <c r="D29" s="8" t="s">
        <v>126</v>
      </c>
      <c r="E29" s="9" t="s">
        <v>127</v>
      </c>
      <c r="F29" s="8" t="s">
        <v>128</v>
      </c>
      <c r="G29" s="10" t="s">
        <v>18</v>
      </c>
      <c r="H29" s="11" t="s">
        <v>74</v>
      </c>
      <c r="I29" s="11" t="s">
        <v>129</v>
      </c>
    </row>
    <row r="30" spans="1:9" ht="79.5" customHeight="1" x14ac:dyDescent="0.25">
      <c r="A30" s="7">
        <v>29</v>
      </c>
      <c r="B30" s="7" t="s">
        <v>130</v>
      </c>
      <c r="C30" s="7">
        <v>2013</v>
      </c>
      <c r="D30" s="8" t="s">
        <v>131</v>
      </c>
      <c r="E30" s="9" t="s">
        <v>57</v>
      </c>
      <c r="F30" s="8" t="s">
        <v>58</v>
      </c>
      <c r="G30" s="10" t="s">
        <v>16</v>
      </c>
      <c r="H30" s="11"/>
      <c r="I30" s="11"/>
    </row>
    <row r="31" spans="1:9" ht="34.5" customHeight="1" x14ac:dyDescent="0.25">
      <c r="A31" s="7">
        <v>30</v>
      </c>
      <c r="B31" s="7" t="s">
        <v>132</v>
      </c>
      <c r="C31" s="7">
        <v>2012</v>
      </c>
      <c r="D31" s="8" t="s">
        <v>133</v>
      </c>
      <c r="E31" s="9" t="s">
        <v>134</v>
      </c>
      <c r="F31" s="8" t="s">
        <v>135</v>
      </c>
      <c r="G31" s="10" t="s">
        <v>16</v>
      </c>
      <c r="H31" s="11"/>
      <c r="I31" s="11"/>
    </row>
    <row r="32" spans="1:9" ht="34.5" customHeight="1" x14ac:dyDescent="0.25">
      <c r="A32" s="7">
        <v>31</v>
      </c>
      <c r="B32" s="7" t="s">
        <v>112</v>
      </c>
      <c r="C32" s="7">
        <v>2019</v>
      </c>
      <c r="D32" s="8" t="s">
        <v>136</v>
      </c>
      <c r="E32" s="9" t="s">
        <v>137</v>
      </c>
      <c r="F32" s="8" t="s">
        <v>138</v>
      </c>
      <c r="G32" s="10" t="s">
        <v>16</v>
      </c>
      <c r="H32" s="11"/>
      <c r="I32" s="11"/>
    </row>
    <row r="33" spans="1:9" ht="45.75" customHeight="1" x14ac:dyDescent="0.25">
      <c r="A33" s="7">
        <v>32</v>
      </c>
      <c r="B33" s="7" t="s">
        <v>51</v>
      </c>
      <c r="C33" s="7">
        <v>2016</v>
      </c>
      <c r="D33" s="8" t="s">
        <v>139</v>
      </c>
      <c r="E33" s="9" t="s">
        <v>53</v>
      </c>
      <c r="F33" s="8" t="s">
        <v>54</v>
      </c>
      <c r="G33" s="10" t="s">
        <v>16</v>
      </c>
      <c r="H33" s="11"/>
      <c r="I33" s="11"/>
    </row>
    <row r="34" spans="1:9" ht="68.25" customHeight="1" x14ac:dyDescent="0.25">
      <c r="A34" s="7">
        <v>33</v>
      </c>
      <c r="B34" s="7" t="s">
        <v>39</v>
      </c>
      <c r="C34" s="7">
        <v>2018</v>
      </c>
      <c r="D34" s="8" t="s">
        <v>140</v>
      </c>
      <c r="E34" s="9" t="s">
        <v>41</v>
      </c>
      <c r="F34" s="8" t="s">
        <v>42</v>
      </c>
      <c r="G34" s="10" t="s">
        <v>16</v>
      </c>
      <c r="H34" s="11"/>
      <c r="I34" s="11"/>
    </row>
    <row r="35" spans="1:9" ht="45.75" customHeight="1" x14ac:dyDescent="0.25">
      <c r="A35" s="7">
        <v>34</v>
      </c>
      <c r="B35" s="7" t="s">
        <v>51</v>
      </c>
      <c r="C35" s="7">
        <v>2016</v>
      </c>
      <c r="D35" s="8" t="s">
        <v>141</v>
      </c>
      <c r="E35" s="9" t="s">
        <v>142</v>
      </c>
      <c r="F35" s="8" t="s">
        <v>143</v>
      </c>
      <c r="G35" s="10" t="s">
        <v>16</v>
      </c>
      <c r="H35" s="11"/>
      <c r="I35" s="11"/>
    </row>
    <row r="36" spans="1:9" ht="45.75" customHeight="1" x14ac:dyDescent="0.25">
      <c r="A36" s="7">
        <v>35</v>
      </c>
      <c r="B36" s="7" t="s">
        <v>55</v>
      </c>
      <c r="C36" s="7">
        <v>2016</v>
      </c>
      <c r="D36" s="8" t="s">
        <v>144</v>
      </c>
      <c r="E36" s="9" t="s">
        <v>60</v>
      </c>
      <c r="F36" s="8" t="s">
        <v>61</v>
      </c>
      <c r="G36" s="10" t="s">
        <v>16</v>
      </c>
      <c r="H36" s="11"/>
      <c r="I36" s="11"/>
    </row>
    <row r="37" spans="1:9" ht="57" customHeight="1" x14ac:dyDescent="0.25">
      <c r="A37" s="7">
        <v>36</v>
      </c>
      <c r="B37" s="7" t="s">
        <v>33</v>
      </c>
      <c r="C37" s="7">
        <v>2017</v>
      </c>
      <c r="D37" s="8" t="s">
        <v>145</v>
      </c>
      <c r="E37" s="9" t="s">
        <v>60</v>
      </c>
      <c r="F37" s="8" t="s">
        <v>61</v>
      </c>
      <c r="G37" s="10" t="s">
        <v>17</v>
      </c>
      <c r="H37" s="11" t="s">
        <v>47</v>
      </c>
      <c r="I37" s="11" t="s">
        <v>146</v>
      </c>
    </row>
    <row r="38" spans="1:9" ht="79.5" customHeight="1" x14ac:dyDescent="0.25">
      <c r="A38" s="7">
        <v>37</v>
      </c>
      <c r="B38" s="7" t="s">
        <v>39</v>
      </c>
      <c r="C38" s="7">
        <v>2019</v>
      </c>
      <c r="D38" s="8" t="s">
        <v>147</v>
      </c>
      <c r="E38" s="9" t="s">
        <v>41</v>
      </c>
      <c r="F38" s="8" t="s">
        <v>42</v>
      </c>
      <c r="G38" s="10" t="s">
        <v>16</v>
      </c>
      <c r="H38" s="11"/>
      <c r="I38" s="11"/>
    </row>
    <row r="39" spans="1:9" ht="34.5" customHeight="1" x14ac:dyDescent="0.25">
      <c r="A39" s="7">
        <v>38</v>
      </c>
      <c r="B39" s="7" t="s">
        <v>112</v>
      </c>
      <c r="C39" s="7">
        <v>2019</v>
      </c>
      <c r="D39" s="8" t="s">
        <v>148</v>
      </c>
      <c r="E39" s="9" t="s">
        <v>53</v>
      </c>
      <c r="F39" s="8" t="s">
        <v>54</v>
      </c>
      <c r="G39" s="10" t="s">
        <v>17</v>
      </c>
      <c r="H39" s="11" t="s">
        <v>149</v>
      </c>
      <c r="I39" s="11" t="s">
        <v>150</v>
      </c>
    </row>
    <row r="40" spans="1:9" ht="57" customHeight="1" x14ac:dyDescent="0.25">
      <c r="A40" s="7">
        <v>39</v>
      </c>
      <c r="B40" s="7" t="s">
        <v>72</v>
      </c>
      <c r="C40" s="7">
        <v>2016</v>
      </c>
      <c r="D40" s="8" t="s">
        <v>151</v>
      </c>
      <c r="E40" s="9" t="s">
        <v>37</v>
      </c>
      <c r="F40" s="8" t="s">
        <v>63</v>
      </c>
      <c r="G40" s="10" t="s">
        <v>16</v>
      </c>
      <c r="H40" s="11"/>
      <c r="I40" s="11" t="s">
        <v>152</v>
      </c>
    </row>
    <row r="41" spans="1:9" ht="45.75" customHeight="1" x14ac:dyDescent="0.25">
      <c r="A41" s="7">
        <v>40</v>
      </c>
      <c r="B41" s="7" t="s">
        <v>153</v>
      </c>
      <c r="C41" s="7">
        <v>2003</v>
      </c>
      <c r="D41" s="8" t="s">
        <v>154</v>
      </c>
      <c r="E41" s="9" t="s">
        <v>155</v>
      </c>
      <c r="F41" s="8" t="s">
        <v>156</v>
      </c>
      <c r="G41" s="10" t="s">
        <v>17</v>
      </c>
      <c r="H41" s="11"/>
      <c r="I41" s="11" t="s">
        <v>157</v>
      </c>
    </row>
    <row r="42" spans="1:9" ht="79.5" customHeight="1" x14ac:dyDescent="0.25">
      <c r="A42" s="7">
        <v>41</v>
      </c>
      <c r="B42" s="7" t="s">
        <v>51</v>
      </c>
      <c r="C42" s="7">
        <v>2018</v>
      </c>
      <c r="D42" s="8" t="s">
        <v>158</v>
      </c>
      <c r="E42" s="9" t="s">
        <v>159</v>
      </c>
      <c r="F42" s="8" t="s">
        <v>160</v>
      </c>
      <c r="G42" s="10" t="s">
        <v>16</v>
      </c>
      <c r="H42" s="11"/>
      <c r="I42" s="11"/>
    </row>
    <row r="43" spans="1:9" ht="90.75" customHeight="1" x14ac:dyDescent="0.25">
      <c r="A43" s="7">
        <v>42</v>
      </c>
      <c r="B43" s="7" t="s">
        <v>161</v>
      </c>
      <c r="C43" s="7">
        <v>2019</v>
      </c>
      <c r="D43" s="8" t="s">
        <v>162</v>
      </c>
      <c r="E43" s="9" t="s">
        <v>163</v>
      </c>
      <c r="F43" s="8" t="s">
        <v>164</v>
      </c>
      <c r="G43" s="10" t="s">
        <v>18</v>
      </c>
      <c r="H43" s="11" t="s">
        <v>31</v>
      </c>
      <c r="I43" s="11" t="s">
        <v>165</v>
      </c>
    </row>
    <row r="44" spans="1:9" ht="45.75" customHeight="1" x14ac:dyDescent="0.25">
      <c r="A44" s="7">
        <v>43</v>
      </c>
      <c r="B44" s="7" t="s">
        <v>33</v>
      </c>
      <c r="C44" s="7">
        <v>2019</v>
      </c>
      <c r="D44" s="8" t="s">
        <v>166</v>
      </c>
      <c r="E44" s="9" t="s">
        <v>167</v>
      </c>
      <c r="F44" s="8" t="s">
        <v>168</v>
      </c>
      <c r="G44" s="10" t="s">
        <v>16</v>
      </c>
      <c r="H44" s="11"/>
      <c r="I44" s="11"/>
    </row>
    <row r="45" spans="1:9" ht="45.75" customHeight="1" x14ac:dyDescent="0.25">
      <c r="A45" s="7">
        <v>44</v>
      </c>
      <c r="B45" s="7" t="s">
        <v>33</v>
      </c>
      <c r="C45" s="7">
        <v>2019</v>
      </c>
      <c r="D45" s="8" t="s">
        <v>169</v>
      </c>
      <c r="E45" s="9" t="s">
        <v>167</v>
      </c>
      <c r="F45" s="8" t="s">
        <v>168</v>
      </c>
      <c r="G45" s="10" t="s">
        <v>16</v>
      </c>
      <c r="H45" s="11"/>
      <c r="I45" s="11"/>
    </row>
    <row r="46" spans="1:9" ht="113.25" customHeight="1" x14ac:dyDescent="0.25">
      <c r="A46" s="7">
        <v>45</v>
      </c>
      <c r="B46" s="7" t="s">
        <v>170</v>
      </c>
      <c r="C46" s="7">
        <v>2006</v>
      </c>
      <c r="D46" s="8" t="s">
        <v>171</v>
      </c>
      <c r="E46" s="9" t="s">
        <v>74</v>
      </c>
      <c r="F46" s="8" t="s">
        <v>75</v>
      </c>
      <c r="G46" s="10" t="s">
        <v>16</v>
      </c>
      <c r="H46" s="11"/>
      <c r="I46" s="11"/>
    </row>
    <row r="47" spans="1:9" ht="45.75" customHeight="1" x14ac:dyDescent="0.25">
      <c r="A47" s="7">
        <v>46</v>
      </c>
      <c r="B47" s="7" t="s">
        <v>172</v>
      </c>
      <c r="C47" s="7">
        <v>2010</v>
      </c>
      <c r="D47" s="8" t="s">
        <v>173</v>
      </c>
      <c r="E47" s="9" t="s">
        <v>41</v>
      </c>
      <c r="F47" s="8" t="s">
        <v>42</v>
      </c>
      <c r="G47" s="10" t="s">
        <v>16</v>
      </c>
      <c r="H47" s="11"/>
      <c r="I47" s="11"/>
    </row>
    <row r="48" spans="1:9" ht="225" customHeight="1" x14ac:dyDescent="0.25">
      <c r="A48" s="7">
        <v>47</v>
      </c>
      <c r="B48" s="7" t="s">
        <v>174</v>
      </c>
      <c r="C48" s="7">
        <v>2017</v>
      </c>
      <c r="D48" s="8" t="s">
        <v>175</v>
      </c>
      <c r="E48" s="9" t="s">
        <v>60</v>
      </c>
      <c r="F48" s="8" t="s">
        <v>61</v>
      </c>
      <c r="G48" s="10" t="s">
        <v>16</v>
      </c>
      <c r="H48" s="11"/>
      <c r="I48" s="11"/>
    </row>
    <row r="49" spans="1:9" ht="34.5" customHeight="1" x14ac:dyDescent="0.25">
      <c r="A49" s="7">
        <v>48</v>
      </c>
      <c r="B49" s="7" t="s">
        <v>39</v>
      </c>
      <c r="C49" s="7">
        <v>2017</v>
      </c>
      <c r="D49" s="8" t="s">
        <v>176</v>
      </c>
      <c r="E49" s="9" t="s">
        <v>41</v>
      </c>
      <c r="F49" s="8" t="s">
        <v>42</v>
      </c>
      <c r="G49" s="10" t="s">
        <v>16</v>
      </c>
      <c r="H49" s="11"/>
      <c r="I49" s="11"/>
    </row>
    <row r="50" spans="1:9" ht="236.25" customHeight="1" x14ac:dyDescent="0.25">
      <c r="A50" s="7">
        <v>49</v>
      </c>
      <c r="B50" s="7" t="s">
        <v>177</v>
      </c>
      <c r="C50" s="7">
        <v>2022</v>
      </c>
      <c r="D50" s="8" t="s">
        <v>178</v>
      </c>
      <c r="E50" s="9" t="s">
        <v>134</v>
      </c>
      <c r="F50" s="8" t="s">
        <v>135</v>
      </c>
      <c r="G50" s="10" t="s">
        <v>17</v>
      </c>
      <c r="H50" s="11" t="s">
        <v>37</v>
      </c>
      <c r="I50" s="11" t="s">
        <v>179</v>
      </c>
    </row>
    <row r="51" spans="1:9" ht="34.5" customHeight="1" x14ac:dyDescent="0.25">
      <c r="A51" s="7">
        <v>50</v>
      </c>
      <c r="B51" s="7" t="s">
        <v>33</v>
      </c>
      <c r="C51" s="7">
        <v>2016</v>
      </c>
      <c r="D51" s="8" t="s">
        <v>180</v>
      </c>
      <c r="E51" s="9" t="s">
        <v>167</v>
      </c>
      <c r="F51" s="8" t="s">
        <v>168</v>
      </c>
      <c r="G51" s="10" t="s">
        <v>16</v>
      </c>
      <c r="H51" s="11"/>
      <c r="I51" s="11"/>
    </row>
    <row r="52" spans="1:9" ht="102" customHeight="1" x14ac:dyDescent="0.25">
      <c r="A52" s="7">
        <v>51</v>
      </c>
      <c r="B52" s="7" t="s">
        <v>102</v>
      </c>
      <c r="C52" s="7">
        <v>2001</v>
      </c>
      <c r="D52" s="8" t="s">
        <v>181</v>
      </c>
      <c r="E52" s="9" t="s">
        <v>81</v>
      </c>
      <c r="F52" s="8" t="s">
        <v>82</v>
      </c>
      <c r="G52" s="10" t="s">
        <v>17</v>
      </c>
      <c r="H52" s="11"/>
      <c r="I52" s="11" t="s">
        <v>182</v>
      </c>
    </row>
    <row r="53" spans="1:9" ht="213.75" customHeight="1" x14ac:dyDescent="0.25">
      <c r="A53" s="7">
        <v>52</v>
      </c>
      <c r="B53" s="7" t="s">
        <v>172</v>
      </c>
      <c r="C53" s="7">
        <v>2004</v>
      </c>
      <c r="D53" s="8" t="s">
        <v>183</v>
      </c>
      <c r="E53" s="9" t="s">
        <v>41</v>
      </c>
      <c r="F53" s="8" t="s">
        <v>42</v>
      </c>
      <c r="G53" s="10" t="s">
        <v>16</v>
      </c>
      <c r="H53" s="11"/>
      <c r="I53" s="11"/>
    </row>
    <row r="54" spans="1:9" ht="34.5" customHeight="1" x14ac:dyDescent="0.25">
      <c r="A54" s="7">
        <v>53</v>
      </c>
      <c r="B54" s="7" t="s">
        <v>184</v>
      </c>
      <c r="C54" s="7">
        <v>2020</v>
      </c>
      <c r="D54" s="8" t="s">
        <v>185</v>
      </c>
      <c r="E54" s="9" t="s">
        <v>186</v>
      </c>
      <c r="F54" s="8" t="s">
        <v>187</v>
      </c>
      <c r="G54" s="10" t="s">
        <v>17</v>
      </c>
      <c r="H54" s="11" t="s">
        <v>31</v>
      </c>
      <c r="I54" s="11" t="s">
        <v>188</v>
      </c>
    </row>
    <row r="55" spans="1:9" ht="147" customHeight="1" x14ac:dyDescent="0.25">
      <c r="A55" s="7">
        <v>54</v>
      </c>
      <c r="B55" s="7" t="s">
        <v>65</v>
      </c>
      <c r="C55" s="7">
        <v>2019</v>
      </c>
      <c r="D55" s="8" t="s">
        <v>189</v>
      </c>
      <c r="E55" s="9" t="s">
        <v>60</v>
      </c>
      <c r="F55" s="8" t="s">
        <v>61</v>
      </c>
      <c r="G55" s="10" t="s">
        <v>16</v>
      </c>
      <c r="H55" s="11"/>
      <c r="I55" s="11"/>
    </row>
    <row r="56" spans="1:9" ht="34.5" customHeight="1" x14ac:dyDescent="0.25">
      <c r="A56" s="7">
        <v>55</v>
      </c>
      <c r="B56" s="7" t="s">
        <v>33</v>
      </c>
      <c r="C56" s="7">
        <v>2014</v>
      </c>
      <c r="D56" s="8" t="s">
        <v>190</v>
      </c>
      <c r="E56" s="9" t="s">
        <v>191</v>
      </c>
      <c r="F56" s="8" t="s">
        <v>192</v>
      </c>
      <c r="G56" s="10" t="s">
        <v>16</v>
      </c>
      <c r="H56" s="11"/>
      <c r="I56" s="11" t="s">
        <v>193</v>
      </c>
    </row>
    <row r="57" spans="1:9" ht="45.75" customHeight="1" x14ac:dyDescent="0.25">
      <c r="A57" s="7">
        <v>56</v>
      </c>
      <c r="B57" s="7" t="s">
        <v>51</v>
      </c>
      <c r="C57" s="7">
        <v>2014</v>
      </c>
      <c r="D57" s="8" t="s">
        <v>194</v>
      </c>
      <c r="E57" s="9" t="s">
        <v>195</v>
      </c>
      <c r="F57" s="8" t="s">
        <v>196</v>
      </c>
      <c r="G57" s="10" t="s">
        <v>17</v>
      </c>
      <c r="H57" s="11" t="s">
        <v>90</v>
      </c>
      <c r="I57" s="11" t="s">
        <v>197</v>
      </c>
    </row>
    <row r="58" spans="1:9" ht="34.5" customHeight="1" x14ac:dyDescent="0.25">
      <c r="A58" s="7">
        <v>57</v>
      </c>
      <c r="B58" s="7" t="s">
        <v>112</v>
      </c>
      <c r="C58" s="7">
        <v>2017</v>
      </c>
      <c r="D58" s="8" t="s">
        <v>198</v>
      </c>
      <c r="E58" s="9" t="s">
        <v>57</v>
      </c>
      <c r="F58" s="8" t="s">
        <v>58</v>
      </c>
      <c r="G58" s="10" t="s">
        <v>17</v>
      </c>
      <c r="H58" s="11" t="s">
        <v>31</v>
      </c>
      <c r="I58" s="11" t="s">
        <v>199</v>
      </c>
    </row>
    <row r="59" spans="1:9" ht="57" customHeight="1" x14ac:dyDescent="0.25">
      <c r="A59" s="7">
        <v>58</v>
      </c>
      <c r="B59" s="7" t="s">
        <v>72</v>
      </c>
      <c r="C59" s="7">
        <v>2012</v>
      </c>
      <c r="D59" s="8" t="s">
        <v>200</v>
      </c>
      <c r="E59" s="9" t="s">
        <v>57</v>
      </c>
      <c r="F59" s="8" t="s">
        <v>58</v>
      </c>
      <c r="G59" s="10" t="s">
        <v>16</v>
      </c>
      <c r="H59" s="11"/>
      <c r="I59" s="11"/>
    </row>
    <row r="60" spans="1:9" ht="34.5" customHeight="1" x14ac:dyDescent="0.25">
      <c r="A60" s="7">
        <v>59</v>
      </c>
      <c r="B60" s="7" t="s">
        <v>201</v>
      </c>
      <c r="C60" s="7">
        <v>2003</v>
      </c>
      <c r="D60" s="8" t="s">
        <v>202</v>
      </c>
      <c r="E60" s="9" t="s">
        <v>203</v>
      </c>
      <c r="F60" s="8" t="s">
        <v>204</v>
      </c>
      <c r="G60" s="10" t="s">
        <v>18</v>
      </c>
      <c r="H60" s="11" t="s">
        <v>31</v>
      </c>
      <c r="I60" s="11" t="s">
        <v>205</v>
      </c>
    </row>
    <row r="61" spans="1:9" ht="45.75" customHeight="1" x14ac:dyDescent="0.25">
      <c r="A61" s="7">
        <v>60</v>
      </c>
      <c r="B61" s="7" t="s">
        <v>51</v>
      </c>
      <c r="C61" s="7">
        <v>2018</v>
      </c>
      <c r="D61" s="8" t="s">
        <v>206</v>
      </c>
      <c r="E61" s="9" t="s">
        <v>37</v>
      </c>
      <c r="F61" s="8" t="s">
        <v>63</v>
      </c>
      <c r="G61" s="10" t="s">
        <v>16</v>
      </c>
      <c r="H61" s="11"/>
      <c r="I61" s="11"/>
    </row>
    <row r="62" spans="1:9" ht="213.75" customHeight="1" x14ac:dyDescent="0.25">
      <c r="A62" s="7">
        <v>61</v>
      </c>
      <c r="B62" s="7" t="s">
        <v>55</v>
      </c>
      <c r="C62" s="7">
        <v>2017</v>
      </c>
      <c r="D62" s="8" t="s">
        <v>207</v>
      </c>
      <c r="E62" s="9" t="s">
        <v>35</v>
      </c>
      <c r="F62" s="8" t="s">
        <v>36</v>
      </c>
      <c r="G62" s="10" t="s">
        <v>17</v>
      </c>
      <c r="H62" s="11" t="s">
        <v>37</v>
      </c>
      <c r="I62" s="11" t="s">
        <v>208</v>
      </c>
    </row>
    <row r="63" spans="1:9" ht="57" customHeight="1" x14ac:dyDescent="0.25">
      <c r="A63" s="7">
        <v>62</v>
      </c>
      <c r="B63" s="7" t="s">
        <v>65</v>
      </c>
      <c r="C63" s="7">
        <v>2019</v>
      </c>
      <c r="D63" s="8" t="s">
        <v>209</v>
      </c>
      <c r="E63" s="9" t="s">
        <v>57</v>
      </c>
      <c r="F63" s="8" t="s">
        <v>58</v>
      </c>
      <c r="G63" s="10" t="s">
        <v>16</v>
      </c>
      <c r="H63" s="11"/>
      <c r="I63" s="11"/>
    </row>
    <row r="64" spans="1:9" ht="79.5" customHeight="1" x14ac:dyDescent="0.25">
      <c r="A64" s="7">
        <v>63</v>
      </c>
      <c r="B64" s="7" t="s">
        <v>51</v>
      </c>
      <c r="C64" s="7">
        <v>2016</v>
      </c>
      <c r="D64" s="8" t="s">
        <v>210</v>
      </c>
      <c r="E64" s="9" t="s">
        <v>106</v>
      </c>
      <c r="F64" s="8" t="s">
        <v>107</v>
      </c>
      <c r="G64" s="10" t="s">
        <v>16</v>
      </c>
      <c r="H64" s="11"/>
      <c r="I64" s="11" t="s">
        <v>211</v>
      </c>
    </row>
    <row r="65" spans="1:9" ht="34.5" customHeight="1" x14ac:dyDescent="0.25">
      <c r="A65" s="7">
        <v>64</v>
      </c>
      <c r="B65" s="7" t="s">
        <v>49</v>
      </c>
      <c r="C65" s="7">
        <v>2019</v>
      </c>
      <c r="D65" s="8" t="s">
        <v>212</v>
      </c>
      <c r="E65" s="9" t="s">
        <v>137</v>
      </c>
      <c r="F65" s="8" t="s">
        <v>138</v>
      </c>
      <c r="G65" s="10" t="s">
        <v>16</v>
      </c>
      <c r="H65" s="11"/>
      <c r="I65" s="11" t="s">
        <v>213</v>
      </c>
    </row>
    <row r="66" spans="1:9" ht="57" customHeight="1" x14ac:dyDescent="0.25">
      <c r="A66" s="7">
        <v>65</v>
      </c>
      <c r="B66" s="7" t="s">
        <v>174</v>
      </c>
      <c r="C66" s="7">
        <v>2017</v>
      </c>
      <c r="D66" s="8" t="s">
        <v>214</v>
      </c>
      <c r="E66" s="9" t="s">
        <v>215</v>
      </c>
      <c r="F66" s="8" t="s">
        <v>216</v>
      </c>
      <c r="G66" s="10" t="s">
        <v>16</v>
      </c>
      <c r="H66" s="11"/>
      <c r="I66" s="11" t="s">
        <v>217</v>
      </c>
    </row>
    <row r="67" spans="1:9" ht="45.75" customHeight="1" x14ac:dyDescent="0.25">
      <c r="A67" s="7">
        <v>66</v>
      </c>
      <c r="B67" s="7" t="s">
        <v>55</v>
      </c>
      <c r="C67" s="7">
        <v>2017</v>
      </c>
      <c r="D67" s="8" t="s">
        <v>218</v>
      </c>
      <c r="E67" s="9" t="s">
        <v>114</v>
      </c>
      <c r="F67" s="8" t="s">
        <v>115</v>
      </c>
      <c r="G67" s="10" t="s">
        <v>18</v>
      </c>
      <c r="H67" s="11" t="s">
        <v>31</v>
      </c>
      <c r="I67" s="11" t="s">
        <v>219</v>
      </c>
    </row>
    <row r="68" spans="1:9" ht="90.75" customHeight="1" x14ac:dyDescent="0.25">
      <c r="A68" s="7">
        <v>67</v>
      </c>
      <c r="B68" s="7" t="s">
        <v>172</v>
      </c>
      <c r="C68" s="7">
        <v>2011</v>
      </c>
      <c r="D68" s="8" t="s">
        <v>220</v>
      </c>
      <c r="E68" s="9" t="s">
        <v>41</v>
      </c>
      <c r="F68" s="8" t="s">
        <v>42</v>
      </c>
      <c r="G68" s="10" t="s">
        <v>16</v>
      </c>
      <c r="H68" s="11"/>
      <c r="I68" s="11"/>
    </row>
    <row r="69" spans="1:9" ht="68.25" customHeight="1" x14ac:dyDescent="0.25">
      <c r="A69" s="7">
        <v>68</v>
      </c>
      <c r="B69" s="7" t="s">
        <v>33</v>
      </c>
      <c r="C69" s="7">
        <v>2020</v>
      </c>
      <c r="D69" s="8" t="s">
        <v>221</v>
      </c>
      <c r="E69" s="9" t="s">
        <v>53</v>
      </c>
      <c r="F69" s="8" t="s">
        <v>54</v>
      </c>
      <c r="G69" s="10" t="s">
        <v>16</v>
      </c>
      <c r="H69" s="11"/>
      <c r="I69" s="11"/>
    </row>
    <row r="70" spans="1:9" ht="79.5" customHeight="1" x14ac:dyDescent="0.25">
      <c r="A70" s="7">
        <v>69</v>
      </c>
      <c r="B70" s="7" t="s">
        <v>51</v>
      </c>
      <c r="C70" s="7">
        <v>2001</v>
      </c>
      <c r="D70" s="8" t="s">
        <v>222</v>
      </c>
      <c r="E70" s="9" t="s">
        <v>223</v>
      </c>
      <c r="F70" s="8" t="s">
        <v>224</v>
      </c>
      <c r="G70" s="10" t="s">
        <v>16</v>
      </c>
      <c r="H70" s="11"/>
      <c r="I70" s="11"/>
    </row>
    <row r="71" spans="1:9" ht="79.5" customHeight="1" x14ac:dyDescent="0.25">
      <c r="A71" s="7">
        <v>70</v>
      </c>
      <c r="B71" s="7" t="s">
        <v>33</v>
      </c>
      <c r="C71" s="7">
        <v>2016</v>
      </c>
      <c r="D71" s="8" t="s">
        <v>225</v>
      </c>
      <c r="E71" s="9" t="s">
        <v>167</v>
      </c>
      <c r="F71" s="8" t="s">
        <v>168</v>
      </c>
      <c r="G71" s="10" t="s">
        <v>16</v>
      </c>
      <c r="H71" s="11"/>
      <c r="I71" s="11"/>
    </row>
    <row r="72" spans="1:9" ht="57" customHeight="1" x14ac:dyDescent="0.25">
      <c r="A72" s="7">
        <v>71</v>
      </c>
      <c r="B72" s="7" t="s">
        <v>33</v>
      </c>
      <c r="C72" s="7">
        <v>2016</v>
      </c>
      <c r="D72" s="8" t="s">
        <v>226</v>
      </c>
      <c r="E72" s="9" t="s">
        <v>57</v>
      </c>
      <c r="F72" s="8" t="s">
        <v>58</v>
      </c>
      <c r="G72" s="10" t="s">
        <v>16</v>
      </c>
      <c r="H72" s="11"/>
      <c r="I72" s="11"/>
    </row>
    <row r="73" spans="1:9" ht="68.25" customHeight="1" x14ac:dyDescent="0.25">
      <c r="A73" s="7">
        <v>72</v>
      </c>
      <c r="B73" s="7" t="s">
        <v>108</v>
      </c>
      <c r="C73" s="7">
        <v>2020</v>
      </c>
      <c r="D73" s="8" t="s">
        <v>227</v>
      </c>
      <c r="E73" s="9" t="s">
        <v>37</v>
      </c>
      <c r="F73" s="8" t="s">
        <v>63</v>
      </c>
      <c r="G73" s="10" t="s">
        <v>16</v>
      </c>
      <c r="H73" s="11"/>
      <c r="I73" s="11"/>
    </row>
    <row r="74" spans="1:9" ht="34.5" customHeight="1" x14ac:dyDescent="0.25">
      <c r="A74" s="7">
        <v>73</v>
      </c>
      <c r="B74" s="7" t="s">
        <v>55</v>
      </c>
      <c r="C74" s="7">
        <v>2012</v>
      </c>
      <c r="D74" s="8" t="s">
        <v>228</v>
      </c>
      <c r="E74" s="9" t="s">
        <v>57</v>
      </c>
      <c r="F74" s="8" t="s">
        <v>58</v>
      </c>
      <c r="G74" s="10" t="s">
        <v>16</v>
      </c>
      <c r="H74" s="11"/>
      <c r="I74" s="11" t="s">
        <v>229</v>
      </c>
    </row>
    <row r="75" spans="1:9" ht="303" customHeight="1" x14ac:dyDescent="0.25">
      <c r="A75" s="7">
        <v>74</v>
      </c>
      <c r="B75" s="7" t="s">
        <v>51</v>
      </c>
      <c r="C75" s="7">
        <v>2010</v>
      </c>
      <c r="D75" s="8" t="s">
        <v>230</v>
      </c>
      <c r="E75" s="9" t="s">
        <v>100</v>
      </c>
      <c r="F75" s="8" t="s">
        <v>101</v>
      </c>
      <c r="G75" s="10" t="s">
        <v>17</v>
      </c>
      <c r="H75" s="11"/>
      <c r="I75" s="11" t="s">
        <v>231</v>
      </c>
    </row>
    <row r="76" spans="1:9" ht="247.5" customHeight="1" x14ac:dyDescent="0.25">
      <c r="A76" s="7">
        <v>75</v>
      </c>
      <c r="B76" s="7" t="s">
        <v>232</v>
      </c>
      <c r="C76" s="7">
        <v>2021</v>
      </c>
      <c r="D76" s="8" t="s">
        <v>233</v>
      </c>
      <c r="E76" s="9" t="s">
        <v>127</v>
      </c>
      <c r="F76" s="8" t="s">
        <v>128</v>
      </c>
      <c r="G76" s="10" t="s">
        <v>17</v>
      </c>
      <c r="H76" s="11" t="s">
        <v>116</v>
      </c>
      <c r="I76" s="11" t="s">
        <v>234</v>
      </c>
    </row>
    <row r="77" spans="1:9" ht="57" customHeight="1" x14ac:dyDescent="0.25">
      <c r="A77" s="7">
        <v>76</v>
      </c>
      <c r="B77" s="7" t="s">
        <v>55</v>
      </c>
      <c r="C77" s="7">
        <v>2017</v>
      </c>
      <c r="D77" s="8" t="s">
        <v>235</v>
      </c>
      <c r="E77" s="9" t="s">
        <v>74</v>
      </c>
      <c r="F77" s="8" t="s">
        <v>75</v>
      </c>
      <c r="G77" s="10" t="s">
        <v>17</v>
      </c>
      <c r="H77" s="11" t="s">
        <v>37</v>
      </c>
      <c r="I77" s="11" t="s">
        <v>236</v>
      </c>
    </row>
    <row r="78" spans="1:9" ht="57" customHeight="1" x14ac:dyDescent="0.25">
      <c r="A78" s="7">
        <v>77</v>
      </c>
      <c r="B78" s="7" t="s">
        <v>237</v>
      </c>
      <c r="C78" s="7">
        <v>2025</v>
      </c>
      <c r="D78" s="8" t="s">
        <v>238</v>
      </c>
      <c r="E78" s="9" t="s">
        <v>114</v>
      </c>
      <c r="F78" s="8" t="s">
        <v>115</v>
      </c>
      <c r="G78" s="10" t="s">
        <v>18</v>
      </c>
      <c r="H78" s="11" t="s">
        <v>239</v>
      </c>
      <c r="I78" s="11" t="s">
        <v>240</v>
      </c>
    </row>
    <row r="79" spans="1:9" ht="79.5" customHeight="1" x14ac:dyDescent="0.25">
      <c r="A79" s="7">
        <v>78</v>
      </c>
      <c r="B79" s="7" t="s">
        <v>65</v>
      </c>
      <c r="C79" s="7">
        <v>2017</v>
      </c>
      <c r="D79" s="8" t="s">
        <v>241</v>
      </c>
      <c r="E79" s="9" t="s">
        <v>60</v>
      </c>
      <c r="F79" s="8" t="s">
        <v>61</v>
      </c>
      <c r="G79" s="10" t="s">
        <v>16</v>
      </c>
      <c r="H79" s="11"/>
      <c r="I79" s="11"/>
    </row>
    <row r="80" spans="1:9" ht="45.75" customHeight="1" x14ac:dyDescent="0.25">
      <c r="A80" s="7">
        <v>79</v>
      </c>
      <c r="B80" s="7" t="s">
        <v>55</v>
      </c>
      <c r="C80" s="7">
        <v>2010</v>
      </c>
      <c r="D80" s="8" t="s">
        <v>242</v>
      </c>
      <c r="E80" s="9" t="s">
        <v>195</v>
      </c>
      <c r="F80" s="8" t="s">
        <v>196</v>
      </c>
      <c r="G80" s="10" t="s">
        <v>17</v>
      </c>
      <c r="H80" s="11"/>
      <c r="I80" s="11" t="s">
        <v>243</v>
      </c>
    </row>
    <row r="81" spans="1:9" ht="34.5" customHeight="1" x14ac:dyDescent="0.25">
      <c r="A81" s="7">
        <v>80</v>
      </c>
      <c r="B81" s="7" t="s">
        <v>55</v>
      </c>
      <c r="C81" s="7">
        <v>2015</v>
      </c>
      <c r="D81" s="8" t="s">
        <v>244</v>
      </c>
      <c r="E81" s="9" t="s">
        <v>53</v>
      </c>
      <c r="F81" s="8" t="s">
        <v>54</v>
      </c>
      <c r="G81" s="10" t="s">
        <v>16</v>
      </c>
      <c r="H81" s="11"/>
      <c r="I81" s="11"/>
    </row>
    <row r="82" spans="1:9" ht="45.75" customHeight="1" x14ac:dyDescent="0.25">
      <c r="A82" s="7">
        <v>81</v>
      </c>
      <c r="B82" s="7" t="s">
        <v>245</v>
      </c>
      <c r="C82" s="7">
        <v>2007</v>
      </c>
      <c r="D82" s="8" t="s">
        <v>246</v>
      </c>
      <c r="E82" s="9" t="s">
        <v>37</v>
      </c>
      <c r="F82" s="8" t="s">
        <v>63</v>
      </c>
      <c r="G82" s="10" t="s">
        <v>16</v>
      </c>
      <c r="H82" s="11"/>
      <c r="I82" s="11"/>
    </row>
    <row r="83" spans="1:9" ht="34.5" customHeight="1" x14ac:dyDescent="0.25">
      <c r="A83" s="7">
        <v>82</v>
      </c>
      <c r="B83" s="7" t="s">
        <v>49</v>
      </c>
      <c r="C83" s="7">
        <v>2018</v>
      </c>
      <c r="D83" s="8" t="s">
        <v>247</v>
      </c>
      <c r="E83" s="9" t="s">
        <v>155</v>
      </c>
      <c r="F83" s="8" t="s">
        <v>156</v>
      </c>
      <c r="G83" s="10" t="s">
        <v>16</v>
      </c>
      <c r="H83" s="11"/>
      <c r="I83" s="11" t="s">
        <v>248</v>
      </c>
    </row>
    <row r="84" spans="1:9" ht="34.5" customHeight="1" x14ac:dyDescent="0.25">
      <c r="A84" s="7">
        <v>83</v>
      </c>
      <c r="B84" s="7" t="s">
        <v>112</v>
      </c>
      <c r="C84" s="7">
        <v>2016</v>
      </c>
      <c r="D84" s="8" t="s">
        <v>249</v>
      </c>
      <c r="E84" s="9" t="s">
        <v>60</v>
      </c>
      <c r="F84" s="8" t="s">
        <v>61</v>
      </c>
      <c r="G84" s="10" t="s">
        <v>16</v>
      </c>
      <c r="H84" s="11"/>
      <c r="I84" s="11"/>
    </row>
    <row r="85" spans="1:9" ht="68.25" customHeight="1" x14ac:dyDescent="0.25">
      <c r="A85" s="7">
        <v>84</v>
      </c>
      <c r="B85" s="7" t="s">
        <v>55</v>
      </c>
      <c r="C85" s="7">
        <v>2010</v>
      </c>
      <c r="D85" s="8" t="s">
        <v>250</v>
      </c>
      <c r="E85" s="9" t="s">
        <v>195</v>
      </c>
      <c r="F85" s="8" t="s">
        <v>196</v>
      </c>
      <c r="G85" s="10" t="s">
        <v>17</v>
      </c>
      <c r="H85" s="11" t="s">
        <v>90</v>
      </c>
      <c r="I85" s="11" t="s">
        <v>251</v>
      </c>
    </row>
    <row r="86" spans="1:9" ht="57" customHeight="1" x14ac:dyDescent="0.25">
      <c r="A86" s="7">
        <v>85</v>
      </c>
      <c r="B86" s="7" t="s">
        <v>55</v>
      </c>
      <c r="C86" s="7">
        <v>2017</v>
      </c>
      <c r="D86" s="8" t="s">
        <v>252</v>
      </c>
      <c r="E86" s="9" t="s">
        <v>60</v>
      </c>
      <c r="F86" s="8" t="s">
        <v>61</v>
      </c>
      <c r="G86" s="10" t="s">
        <v>16</v>
      </c>
      <c r="H86" s="11"/>
      <c r="I86" s="11"/>
    </row>
    <row r="87" spans="1:9" ht="45.75" customHeight="1" x14ac:dyDescent="0.25">
      <c r="A87" s="7">
        <v>86</v>
      </c>
      <c r="B87" s="7" t="s">
        <v>65</v>
      </c>
      <c r="C87" s="7">
        <v>2018</v>
      </c>
      <c r="D87" s="8" t="s">
        <v>253</v>
      </c>
      <c r="E87" s="9" t="s">
        <v>60</v>
      </c>
      <c r="F87" s="8" t="s">
        <v>61</v>
      </c>
      <c r="G87" s="10" t="s">
        <v>16</v>
      </c>
      <c r="H87" s="11"/>
      <c r="I87" s="11"/>
    </row>
    <row r="88" spans="1:9" ht="90.75" customHeight="1" x14ac:dyDescent="0.25">
      <c r="A88" s="7">
        <v>87</v>
      </c>
      <c r="B88" s="7" t="s">
        <v>254</v>
      </c>
      <c r="C88" s="7">
        <v>2010</v>
      </c>
      <c r="D88" s="8" t="s">
        <v>255</v>
      </c>
      <c r="E88" s="9" t="s">
        <v>57</v>
      </c>
      <c r="F88" s="8" t="s">
        <v>58</v>
      </c>
      <c r="G88" s="10" t="s">
        <v>16</v>
      </c>
      <c r="H88" s="11"/>
      <c r="I88" s="11"/>
    </row>
    <row r="89" spans="1:9" ht="45.75" customHeight="1" x14ac:dyDescent="0.25">
      <c r="A89" s="7">
        <v>88</v>
      </c>
      <c r="B89" s="7" t="s">
        <v>177</v>
      </c>
      <c r="C89" s="7">
        <v>2023</v>
      </c>
      <c r="D89" s="8" t="s">
        <v>256</v>
      </c>
      <c r="E89" s="9" t="s">
        <v>257</v>
      </c>
      <c r="F89" s="8" t="s">
        <v>258</v>
      </c>
      <c r="G89" s="10" t="s">
        <v>17</v>
      </c>
      <c r="H89" s="11" t="s">
        <v>31</v>
      </c>
      <c r="I89" s="11" t="s">
        <v>259</v>
      </c>
    </row>
    <row r="90" spans="1:9" ht="79.5" customHeight="1" x14ac:dyDescent="0.25">
      <c r="A90" s="7">
        <v>89</v>
      </c>
      <c r="B90" s="7" t="s">
        <v>65</v>
      </c>
      <c r="C90" s="7">
        <v>2010</v>
      </c>
      <c r="D90" s="8" t="s">
        <v>260</v>
      </c>
      <c r="E90" s="9" t="s">
        <v>57</v>
      </c>
      <c r="F90" s="8" t="s">
        <v>58</v>
      </c>
      <c r="G90" s="10" t="s">
        <v>16</v>
      </c>
      <c r="H90" s="11"/>
      <c r="I90" s="11"/>
    </row>
    <row r="91" spans="1:9" ht="124.5" customHeight="1" x14ac:dyDescent="0.25">
      <c r="A91" s="7">
        <v>90</v>
      </c>
      <c r="B91" s="7" t="s">
        <v>65</v>
      </c>
      <c r="C91" s="7">
        <v>2017</v>
      </c>
      <c r="D91" s="8" t="s">
        <v>261</v>
      </c>
      <c r="E91" s="9" t="s">
        <v>47</v>
      </c>
      <c r="F91" s="8" t="s">
        <v>262</v>
      </c>
      <c r="G91" s="10" t="s">
        <v>16</v>
      </c>
      <c r="H91" s="11"/>
      <c r="I91" s="11"/>
    </row>
    <row r="92" spans="1:9" ht="34.5" customHeight="1" x14ac:dyDescent="0.25">
      <c r="A92" s="7">
        <v>91</v>
      </c>
      <c r="B92" s="7" t="s">
        <v>51</v>
      </c>
      <c r="C92" s="7">
        <v>2014</v>
      </c>
      <c r="D92" s="8" t="s">
        <v>263</v>
      </c>
      <c r="E92" s="9" t="s">
        <v>264</v>
      </c>
      <c r="F92" s="8" t="s">
        <v>265</v>
      </c>
      <c r="G92" s="10" t="s">
        <v>16</v>
      </c>
      <c r="H92" s="11"/>
      <c r="I92" s="11"/>
    </row>
    <row r="93" spans="1:9" ht="57" customHeight="1" x14ac:dyDescent="0.25">
      <c r="A93" s="7">
        <v>92</v>
      </c>
      <c r="B93" s="7" t="s">
        <v>65</v>
      </c>
      <c r="C93" s="7">
        <v>2018</v>
      </c>
      <c r="D93" s="8" t="s">
        <v>266</v>
      </c>
      <c r="E93" s="9" t="s">
        <v>74</v>
      </c>
      <c r="F93" s="8" t="s">
        <v>75</v>
      </c>
      <c r="G93" s="10" t="s">
        <v>16</v>
      </c>
      <c r="H93" s="11"/>
      <c r="I93" s="11" t="s">
        <v>267</v>
      </c>
    </row>
    <row r="94" spans="1:9" ht="57" customHeight="1" x14ac:dyDescent="0.25">
      <c r="A94" s="7">
        <v>93</v>
      </c>
      <c r="B94" s="7" t="s">
        <v>72</v>
      </c>
      <c r="C94" s="7">
        <v>2018</v>
      </c>
      <c r="D94" s="8" t="s">
        <v>268</v>
      </c>
      <c r="E94" s="9" t="s">
        <v>269</v>
      </c>
      <c r="F94" s="8" t="s">
        <v>270</v>
      </c>
      <c r="G94" s="10" t="s">
        <v>18</v>
      </c>
      <c r="H94" s="11" t="s">
        <v>271</v>
      </c>
      <c r="I94" s="11" t="s">
        <v>272</v>
      </c>
    </row>
    <row r="95" spans="1:9" ht="34.5" customHeight="1" x14ac:dyDescent="0.25">
      <c r="A95" s="7">
        <v>94</v>
      </c>
      <c r="B95" s="7" t="s">
        <v>112</v>
      </c>
      <c r="C95" s="7">
        <v>2014</v>
      </c>
      <c r="D95" s="8" t="s">
        <v>273</v>
      </c>
      <c r="E95" s="9" t="s">
        <v>137</v>
      </c>
      <c r="F95" s="8" t="s">
        <v>138</v>
      </c>
      <c r="G95" s="10" t="s">
        <v>18</v>
      </c>
      <c r="H95" s="11" t="s">
        <v>31</v>
      </c>
      <c r="I95" s="11" t="s">
        <v>274</v>
      </c>
    </row>
    <row r="96" spans="1:9" ht="57" customHeight="1" x14ac:dyDescent="0.25">
      <c r="A96" s="7">
        <v>95</v>
      </c>
      <c r="B96" s="7" t="s">
        <v>51</v>
      </c>
      <c r="C96" s="7">
        <v>2013</v>
      </c>
      <c r="D96" s="8" t="s">
        <v>275</v>
      </c>
      <c r="E96" s="9" t="s">
        <v>35</v>
      </c>
      <c r="F96" s="8" t="s">
        <v>36</v>
      </c>
      <c r="G96" s="10" t="s">
        <v>16</v>
      </c>
      <c r="H96" s="11"/>
      <c r="I96" s="11"/>
    </row>
    <row r="97" spans="1:9" ht="45.75" customHeight="1" x14ac:dyDescent="0.25">
      <c r="A97" s="7">
        <v>96</v>
      </c>
      <c r="B97" s="7" t="s">
        <v>39</v>
      </c>
      <c r="C97" s="7">
        <v>2017</v>
      </c>
      <c r="D97" s="8" t="s">
        <v>276</v>
      </c>
      <c r="E97" s="9" t="s">
        <v>41</v>
      </c>
      <c r="F97" s="8" t="s">
        <v>42</v>
      </c>
      <c r="G97" s="10" t="s">
        <v>16</v>
      </c>
      <c r="H97" s="11"/>
      <c r="I97" s="11"/>
    </row>
    <row r="98" spans="1:9" ht="45.75" customHeight="1" x14ac:dyDescent="0.25">
      <c r="A98" s="7">
        <v>97</v>
      </c>
      <c r="B98" s="7" t="s">
        <v>68</v>
      </c>
      <c r="C98" s="7">
        <v>2021</v>
      </c>
      <c r="D98" s="8" t="s">
        <v>277</v>
      </c>
      <c r="E98" s="9" t="s">
        <v>278</v>
      </c>
      <c r="F98" s="8" t="s">
        <v>279</v>
      </c>
      <c r="G98" s="10" t="s">
        <v>18</v>
      </c>
      <c r="H98" s="11" t="s">
        <v>31</v>
      </c>
      <c r="I98" s="11" t="s">
        <v>280</v>
      </c>
    </row>
    <row r="99" spans="1:9" ht="68.25" customHeight="1" x14ac:dyDescent="0.25">
      <c r="A99" s="7">
        <v>98</v>
      </c>
      <c r="B99" s="7" t="s">
        <v>51</v>
      </c>
      <c r="C99" s="7">
        <v>2008</v>
      </c>
      <c r="D99" s="8" t="s">
        <v>281</v>
      </c>
      <c r="E99" s="9" t="s">
        <v>29</v>
      </c>
      <c r="F99" s="8" t="s">
        <v>30</v>
      </c>
      <c r="G99" s="10" t="s">
        <v>17</v>
      </c>
      <c r="H99" s="11" t="s">
        <v>31</v>
      </c>
      <c r="I99" s="11" t="s">
        <v>282</v>
      </c>
    </row>
    <row r="100" spans="1:9" ht="34.5" customHeight="1" x14ac:dyDescent="0.25">
      <c r="A100" s="7">
        <v>99</v>
      </c>
      <c r="B100" s="7" t="s">
        <v>51</v>
      </c>
      <c r="C100" s="7">
        <v>2016</v>
      </c>
      <c r="D100" s="8" t="s">
        <v>283</v>
      </c>
      <c r="E100" s="9" t="s">
        <v>100</v>
      </c>
      <c r="F100" s="8" t="s">
        <v>101</v>
      </c>
      <c r="G100" s="10" t="s">
        <v>16</v>
      </c>
      <c r="H100" s="11"/>
      <c r="I100" s="11"/>
    </row>
    <row r="101" spans="1:9" ht="34.5" customHeight="1" x14ac:dyDescent="0.25">
      <c r="A101" s="7">
        <v>100</v>
      </c>
      <c r="B101" s="7" t="s">
        <v>65</v>
      </c>
      <c r="C101" s="7">
        <v>2017</v>
      </c>
      <c r="D101" s="8" t="s">
        <v>284</v>
      </c>
      <c r="E101" s="9" t="s">
        <v>60</v>
      </c>
      <c r="F101" s="8" t="s">
        <v>61</v>
      </c>
      <c r="G101" s="10" t="s">
        <v>17</v>
      </c>
      <c r="H101" s="11"/>
      <c r="I101" s="11" t="s">
        <v>285</v>
      </c>
    </row>
    <row r="102" spans="1:9" ht="34.5" customHeight="1" x14ac:dyDescent="0.25">
      <c r="A102" s="7">
        <v>101</v>
      </c>
      <c r="B102" s="7" t="s">
        <v>88</v>
      </c>
      <c r="C102" s="7">
        <v>2016</v>
      </c>
      <c r="D102" s="8" t="s">
        <v>286</v>
      </c>
      <c r="E102" s="9" t="s">
        <v>53</v>
      </c>
      <c r="F102" s="8" t="s">
        <v>54</v>
      </c>
      <c r="G102" s="10" t="s">
        <v>16</v>
      </c>
      <c r="H102" s="11"/>
      <c r="I102" s="11"/>
    </row>
    <row r="103" spans="1:9" ht="34.5" customHeight="1" x14ac:dyDescent="0.25">
      <c r="A103" s="7">
        <v>102</v>
      </c>
      <c r="B103" s="7" t="s">
        <v>33</v>
      </c>
      <c r="C103" s="7">
        <v>2017</v>
      </c>
      <c r="D103" s="8" t="s">
        <v>287</v>
      </c>
      <c r="E103" s="9" t="s">
        <v>60</v>
      </c>
      <c r="F103" s="8" t="s">
        <v>61</v>
      </c>
      <c r="G103" s="10" t="s">
        <v>16</v>
      </c>
      <c r="H103" s="11"/>
      <c r="I103" s="11"/>
    </row>
    <row r="104" spans="1:9" ht="23.25" customHeight="1" x14ac:dyDescent="0.25">
      <c r="A104" s="7">
        <v>103</v>
      </c>
      <c r="B104" s="7" t="s">
        <v>288</v>
      </c>
      <c r="C104" s="7">
        <v>2020</v>
      </c>
      <c r="D104" s="8" t="s">
        <v>289</v>
      </c>
      <c r="E104" s="9" t="s">
        <v>83</v>
      </c>
      <c r="F104" s="8" t="s">
        <v>290</v>
      </c>
      <c r="G104" s="10" t="s">
        <v>17</v>
      </c>
      <c r="H104" s="11" t="s">
        <v>116</v>
      </c>
      <c r="I104" s="11" t="s">
        <v>291</v>
      </c>
    </row>
    <row r="105" spans="1:9" ht="45.75" customHeight="1" x14ac:dyDescent="0.25">
      <c r="A105" s="7">
        <v>104</v>
      </c>
      <c r="B105" s="7" t="s">
        <v>65</v>
      </c>
      <c r="C105" s="7">
        <v>2012</v>
      </c>
      <c r="D105" s="8" t="s">
        <v>292</v>
      </c>
      <c r="E105" s="9" t="s">
        <v>57</v>
      </c>
      <c r="F105" s="8" t="s">
        <v>58</v>
      </c>
      <c r="G105" s="10" t="s">
        <v>17</v>
      </c>
      <c r="H105" s="11" t="s">
        <v>31</v>
      </c>
      <c r="I105" s="11" t="s">
        <v>293</v>
      </c>
    </row>
    <row r="106" spans="1:9" ht="34.5" customHeight="1" x14ac:dyDescent="0.25">
      <c r="A106" s="7">
        <v>105</v>
      </c>
      <c r="B106" s="7" t="s">
        <v>49</v>
      </c>
      <c r="C106" s="7">
        <v>2019</v>
      </c>
      <c r="D106" s="8" t="s">
        <v>294</v>
      </c>
      <c r="E106" s="9" t="s">
        <v>37</v>
      </c>
      <c r="F106" s="8" t="s">
        <v>63</v>
      </c>
      <c r="G106" s="10" t="s">
        <v>16</v>
      </c>
      <c r="H106" s="11"/>
      <c r="I106" s="11"/>
    </row>
    <row r="107" spans="1:9" ht="147" customHeight="1" x14ac:dyDescent="0.25">
      <c r="A107" s="7">
        <v>106</v>
      </c>
      <c r="B107" s="7" t="s">
        <v>55</v>
      </c>
      <c r="C107" s="7">
        <v>2017</v>
      </c>
      <c r="D107" s="8" t="s">
        <v>295</v>
      </c>
      <c r="E107" s="9" t="s">
        <v>203</v>
      </c>
      <c r="F107" s="8" t="s">
        <v>204</v>
      </c>
      <c r="G107" s="10" t="s">
        <v>16</v>
      </c>
      <c r="H107" s="11"/>
      <c r="I107" s="11"/>
    </row>
    <row r="108" spans="1:9" ht="45.75" customHeight="1" x14ac:dyDescent="0.25">
      <c r="A108" s="7">
        <v>107</v>
      </c>
      <c r="B108" s="7" t="s">
        <v>72</v>
      </c>
      <c r="C108" s="7">
        <v>2016</v>
      </c>
      <c r="D108" s="8" t="s">
        <v>296</v>
      </c>
      <c r="E108" s="9" t="s">
        <v>74</v>
      </c>
      <c r="F108" s="8" t="s">
        <v>75</v>
      </c>
      <c r="G108" s="10" t="s">
        <v>17</v>
      </c>
      <c r="H108" s="11" t="s">
        <v>45</v>
      </c>
      <c r="I108" s="11" t="s">
        <v>297</v>
      </c>
    </row>
    <row r="109" spans="1:9" ht="79.5" customHeight="1" x14ac:dyDescent="0.25">
      <c r="A109" s="7">
        <v>108</v>
      </c>
      <c r="B109" s="7" t="s">
        <v>39</v>
      </c>
      <c r="C109" s="7">
        <v>2019</v>
      </c>
      <c r="D109" s="8" t="s">
        <v>298</v>
      </c>
      <c r="E109" s="9" t="s">
        <v>299</v>
      </c>
      <c r="F109" s="8" t="s">
        <v>300</v>
      </c>
      <c r="G109" s="10" t="s">
        <v>16</v>
      </c>
      <c r="H109" s="11"/>
      <c r="I109" s="11" t="s">
        <v>301</v>
      </c>
    </row>
    <row r="110" spans="1:9" ht="45.75" customHeight="1" x14ac:dyDescent="0.25">
      <c r="A110" s="7">
        <v>109</v>
      </c>
      <c r="B110" s="7" t="s">
        <v>55</v>
      </c>
      <c r="C110" s="7">
        <v>2015</v>
      </c>
      <c r="D110" s="8" t="s">
        <v>302</v>
      </c>
      <c r="E110" s="9" t="s">
        <v>37</v>
      </c>
      <c r="F110" s="8" t="s">
        <v>63</v>
      </c>
      <c r="G110" s="10" t="s">
        <v>16</v>
      </c>
      <c r="H110" s="11"/>
      <c r="I110" s="11"/>
    </row>
    <row r="111" spans="1:9" ht="236.25" customHeight="1" x14ac:dyDescent="0.25">
      <c r="A111" s="7">
        <v>110</v>
      </c>
      <c r="B111" s="7" t="s">
        <v>65</v>
      </c>
      <c r="C111" s="7">
        <v>2017</v>
      </c>
      <c r="D111" s="8" t="s">
        <v>303</v>
      </c>
      <c r="E111" s="9" t="s">
        <v>60</v>
      </c>
      <c r="F111" s="8" t="s">
        <v>61</v>
      </c>
      <c r="G111" s="10" t="s">
        <v>16</v>
      </c>
      <c r="H111" s="11"/>
      <c r="I111" s="11"/>
    </row>
    <row r="112" spans="1:9" ht="68.25" customHeight="1" x14ac:dyDescent="0.25">
      <c r="A112" s="7">
        <v>111</v>
      </c>
      <c r="B112" s="7" t="s">
        <v>65</v>
      </c>
      <c r="C112" s="7">
        <v>2019</v>
      </c>
      <c r="D112" s="8" t="s">
        <v>304</v>
      </c>
      <c r="E112" s="9" t="s">
        <v>60</v>
      </c>
      <c r="F112" s="8" t="s">
        <v>61</v>
      </c>
      <c r="G112" s="10" t="s">
        <v>16</v>
      </c>
      <c r="H112" s="11"/>
      <c r="I112" s="11"/>
    </row>
    <row r="113" spans="1:9" ht="34.5" customHeight="1" x14ac:dyDescent="0.25">
      <c r="A113" s="7">
        <v>112</v>
      </c>
      <c r="B113" s="7" t="s">
        <v>65</v>
      </c>
      <c r="C113" s="7">
        <v>2019</v>
      </c>
      <c r="D113" s="8" t="s">
        <v>305</v>
      </c>
      <c r="E113" s="9" t="s">
        <v>29</v>
      </c>
      <c r="F113" s="8" t="s">
        <v>30</v>
      </c>
      <c r="G113" s="10" t="s">
        <v>17</v>
      </c>
      <c r="H113" s="11"/>
      <c r="I113" s="11" t="s">
        <v>306</v>
      </c>
    </row>
    <row r="114" spans="1:9" ht="202.5" customHeight="1" x14ac:dyDescent="0.25">
      <c r="A114" s="7">
        <v>113</v>
      </c>
      <c r="B114" s="7" t="s">
        <v>307</v>
      </c>
      <c r="C114" s="7">
        <v>2023</v>
      </c>
      <c r="D114" s="8" t="s">
        <v>308</v>
      </c>
      <c r="E114" s="9" t="s">
        <v>309</v>
      </c>
      <c r="F114" s="8" t="s">
        <v>310</v>
      </c>
      <c r="G114" s="10" t="s">
        <v>16</v>
      </c>
      <c r="H114" s="11"/>
      <c r="I114" s="11"/>
    </row>
    <row r="115" spans="1:9" ht="79.5" customHeight="1" x14ac:dyDescent="0.25">
      <c r="A115" s="7">
        <v>114</v>
      </c>
      <c r="B115" s="7" t="s">
        <v>112</v>
      </c>
      <c r="C115" s="7">
        <v>2011</v>
      </c>
      <c r="D115" s="8" t="s">
        <v>311</v>
      </c>
      <c r="E115" s="9" t="s">
        <v>195</v>
      </c>
      <c r="F115" s="8" t="s">
        <v>196</v>
      </c>
      <c r="G115" s="10" t="s">
        <v>16</v>
      </c>
      <c r="H115" s="11"/>
      <c r="I115" s="11"/>
    </row>
    <row r="116" spans="1:9" ht="45.75" customHeight="1" x14ac:dyDescent="0.25">
      <c r="A116" s="7">
        <v>115</v>
      </c>
      <c r="B116" s="7" t="s">
        <v>43</v>
      </c>
      <c r="C116" s="7">
        <v>2015</v>
      </c>
      <c r="D116" s="8" t="s">
        <v>312</v>
      </c>
      <c r="E116" s="9" t="s">
        <v>114</v>
      </c>
      <c r="F116" s="8" t="s">
        <v>115</v>
      </c>
      <c r="G116" s="10" t="s">
        <v>16</v>
      </c>
      <c r="H116" s="11"/>
      <c r="I116" s="11"/>
    </row>
    <row r="117" spans="1:9" ht="57" customHeight="1" x14ac:dyDescent="0.25">
      <c r="A117" s="7">
        <v>116</v>
      </c>
      <c r="B117" s="7" t="s">
        <v>33</v>
      </c>
      <c r="C117" s="7">
        <v>2012</v>
      </c>
      <c r="D117" s="8" t="s">
        <v>313</v>
      </c>
      <c r="E117" s="9" t="s">
        <v>57</v>
      </c>
      <c r="F117" s="8" t="s">
        <v>58</v>
      </c>
      <c r="G117" s="10" t="s">
        <v>16</v>
      </c>
      <c r="H117" s="11"/>
      <c r="I117" s="11"/>
    </row>
    <row r="118" spans="1:9" ht="68.25" customHeight="1" x14ac:dyDescent="0.25">
      <c r="A118" s="7">
        <v>117</v>
      </c>
      <c r="B118" s="7" t="s">
        <v>170</v>
      </c>
      <c r="C118" s="7">
        <v>2013</v>
      </c>
      <c r="D118" s="8" t="s">
        <v>314</v>
      </c>
      <c r="E118" s="9" t="s">
        <v>35</v>
      </c>
      <c r="F118" s="8" t="s">
        <v>36</v>
      </c>
      <c r="G118" s="10" t="s">
        <v>16</v>
      </c>
      <c r="H118" s="11"/>
      <c r="I118" s="11" t="s">
        <v>315</v>
      </c>
    </row>
    <row r="119" spans="1:9" ht="113.25" customHeight="1" x14ac:dyDescent="0.25">
      <c r="A119" s="7">
        <v>118</v>
      </c>
      <c r="B119" s="7" t="s">
        <v>33</v>
      </c>
      <c r="C119" s="7">
        <v>2015</v>
      </c>
      <c r="D119" s="8" t="s">
        <v>316</v>
      </c>
      <c r="E119" s="9" t="s">
        <v>86</v>
      </c>
      <c r="F119" s="8" t="s">
        <v>317</v>
      </c>
      <c r="G119" s="10" t="s">
        <v>16</v>
      </c>
      <c r="H119" s="11"/>
      <c r="I119" s="11"/>
    </row>
    <row r="120" spans="1:9" ht="34.5" customHeight="1" x14ac:dyDescent="0.25">
      <c r="A120" s="7">
        <v>119</v>
      </c>
      <c r="B120" s="7" t="s">
        <v>65</v>
      </c>
      <c r="C120" s="7">
        <v>2014</v>
      </c>
      <c r="D120" s="8" t="s">
        <v>318</v>
      </c>
      <c r="E120" s="9" t="s">
        <v>57</v>
      </c>
      <c r="F120" s="8" t="s">
        <v>58</v>
      </c>
      <c r="G120" s="10" t="s">
        <v>16</v>
      </c>
      <c r="H120" s="11"/>
      <c r="I120" s="11"/>
    </row>
    <row r="121" spans="1:9" ht="34.5" customHeight="1" x14ac:dyDescent="0.25">
      <c r="A121" s="7">
        <v>120</v>
      </c>
      <c r="B121" s="7" t="s">
        <v>72</v>
      </c>
      <c r="C121" s="7">
        <v>2014</v>
      </c>
      <c r="D121" s="8" t="s">
        <v>319</v>
      </c>
      <c r="E121" s="9" t="s">
        <v>35</v>
      </c>
      <c r="F121" s="8" t="s">
        <v>36</v>
      </c>
      <c r="G121" s="10" t="s">
        <v>16</v>
      </c>
      <c r="H121" s="11"/>
      <c r="I121" s="11"/>
    </row>
    <row r="122" spans="1:9" ht="135.75" customHeight="1" x14ac:dyDescent="0.25">
      <c r="A122" s="7">
        <v>121</v>
      </c>
      <c r="B122" s="7" t="s">
        <v>320</v>
      </c>
      <c r="C122" s="7">
        <v>2022</v>
      </c>
      <c r="D122" s="8" t="s">
        <v>321</v>
      </c>
      <c r="E122" s="9" t="s">
        <v>74</v>
      </c>
      <c r="F122" s="8" t="s">
        <v>75</v>
      </c>
      <c r="G122" s="10" t="s">
        <v>16</v>
      </c>
      <c r="H122" s="11"/>
      <c r="I122" s="11"/>
    </row>
    <row r="123" spans="1:9" ht="113.25" customHeight="1" x14ac:dyDescent="0.25">
      <c r="A123" s="7">
        <v>122</v>
      </c>
      <c r="B123" s="7" t="s">
        <v>68</v>
      </c>
      <c r="C123" s="7">
        <v>2022</v>
      </c>
      <c r="D123" s="8" t="s">
        <v>322</v>
      </c>
      <c r="E123" s="9" t="s">
        <v>257</v>
      </c>
      <c r="F123" s="8" t="s">
        <v>258</v>
      </c>
      <c r="G123" s="10" t="s">
        <v>17</v>
      </c>
      <c r="H123" s="11" t="s">
        <v>45</v>
      </c>
      <c r="I123" s="11" t="s">
        <v>323</v>
      </c>
    </row>
    <row r="124" spans="1:9" ht="90.75" customHeight="1" x14ac:dyDescent="0.25">
      <c r="A124" s="7">
        <v>123</v>
      </c>
      <c r="B124" s="7" t="s">
        <v>170</v>
      </c>
      <c r="C124" s="7">
        <v>2014</v>
      </c>
      <c r="D124" s="8" t="s">
        <v>324</v>
      </c>
      <c r="E124" s="9" t="s">
        <v>37</v>
      </c>
      <c r="F124" s="8" t="s">
        <v>63</v>
      </c>
      <c r="G124" s="10" t="s">
        <v>16</v>
      </c>
      <c r="H124" s="11"/>
      <c r="I124" s="11"/>
    </row>
    <row r="125" spans="1:9" ht="34.5" customHeight="1" x14ac:dyDescent="0.25">
      <c r="A125" s="7">
        <v>124</v>
      </c>
      <c r="B125" s="7" t="s">
        <v>245</v>
      </c>
      <c r="C125" s="7">
        <v>2012</v>
      </c>
      <c r="D125" s="8" t="s">
        <v>325</v>
      </c>
      <c r="E125" s="9" t="s">
        <v>53</v>
      </c>
      <c r="F125" s="8" t="s">
        <v>54</v>
      </c>
      <c r="G125" s="10" t="s">
        <v>16</v>
      </c>
      <c r="H125" s="11"/>
      <c r="I125" s="11"/>
    </row>
    <row r="126" spans="1:9" ht="34.5" customHeight="1" x14ac:dyDescent="0.25">
      <c r="A126" s="7">
        <v>125</v>
      </c>
      <c r="B126" s="7" t="s">
        <v>33</v>
      </c>
      <c r="C126" s="7">
        <v>2016</v>
      </c>
      <c r="D126" s="8" t="s">
        <v>326</v>
      </c>
      <c r="E126" s="9" t="s">
        <v>167</v>
      </c>
      <c r="F126" s="8" t="s">
        <v>168</v>
      </c>
      <c r="G126" s="10" t="s">
        <v>16</v>
      </c>
      <c r="H126" s="11"/>
      <c r="I126" s="11"/>
    </row>
    <row r="127" spans="1:9" ht="57" customHeight="1" x14ac:dyDescent="0.25">
      <c r="A127" s="7">
        <v>126</v>
      </c>
      <c r="B127" s="7" t="s">
        <v>161</v>
      </c>
      <c r="C127" s="7">
        <v>2018</v>
      </c>
      <c r="D127" s="8" t="s">
        <v>327</v>
      </c>
      <c r="E127" s="9" t="s">
        <v>328</v>
      </c>
      <c r="F127" s="8" t="s">
        <v>329</v>
      </c>
      <c r="G127" s="10" t="s">
        <v>16</v>
      </c>
      <c r="H127" s="11"/>
      <c r="I127" s="11"/>
    </row>
    <row r="128" spans="1:9" ht="79.5" customHeight="1" x14ac:dyDescent="0.25">
      <c r="A128" s="7">
        <v>127</v>
      </c>
      <c r="B128" s="7" t="s">
        <v>72</v>
      </c>
      <c r="C128" s="7">
        <v>2014</v>
      </c>
      <c r="D128" s="8" t="s">
        <v>330</v>
      </c>
      <c r="E128" s="9" t="s">
        <v>35</v>
      </c>
      <c r="F128" s="8" t="s">
        <v>36</v>
      </c>
      <c r="G128" s="10" t="s">
        <v>17</v>
      </c>
      <c r="H128" s="11" t="s">
        <v>74</v>
      </c>
      <c r="I128" s="11" t="s">
        <v>331</v>
      </c>
    </row>
    <row r="129" spans="1:9" ht="34.5" customHeight="1" x14ac:dyDescent="0.25">
      <c r="A129" s="7">
        <v>128</v>
      </c>
      <c r="B129" s="7" t="s">
        <v>177</v>
      </c>
      <c r="C129" s="7">
        <v>2022</v>
      </c>
      <c r="D129" s="8" t="s">
        <v>332</v>
      </c>
      <c r="E129" s="9" t="s">
        <v>41</v>
      </c>
      <c r="F129" s="8" t="s">
        <v>42</v>
      </c>
      <c r="G129" s="10" t="s">
        <v>17</v>
      </c>
      <c r="H129" s="11" t="s">
        <v>31</v>
      </c>
      <c r="I129" s="11" t="s">
        <v>333</v>
      </c>
    </row>
    <row r="130" spans="1:9" ht="68.25" customHeight="1" x14ac:dyDescent="0.25">
      <c r="A130" s="7">
        <v>129</v>
      </c>
      <c r="B130" s="7" t="s">
        <v>320</v>
      </c>
      <c r="C130" s="7">
        <v>2023</v>
      </c>
      <c r="D130" s="8" t="s">
        <v>334</v>
      </c>
      <c r="E130" s="9" t="s">
        <v>35</v>
      </c>
      <c r="F130" s="8" t="s">
        <v>36</v>
      </c>
      <c r="G130" s="10" t="s">
        <v>16</v>
      </c>
      <c r="H130" s="11"/>
      <c r="I130" s="11"/>
    </row>
    <row r="131" spans="1:9" ht="258.75" customHeight="1" x14ac:dyDescent="0.25">
      <c r="A131" s="7">
        <v>130</v>
      </c>
      <c r="B131" s="7" t="s">
        <v>320</v>
      </c>
      <c r="C131" s="7">
        <v>2021</v>
      </c>
      <c r="D131" s="8" t="s">
        <v>335</v>
      </c>
      <c r="E131" s="9" t="s">
        <v>336</v>
      </c>
      <c r="F131" s="8" t="s">
        <v>337</v>
      </c>
      <c r="G131" s="10" t="s">
        <v>16</v>
      </c>
      <c r="H131" s="11"/>
      <c r="I131" s="11"/>
    </row>
    <row r="132" spans="1:9" ht="57" customHeight="1" x14ac:dyDescent="0.25">
      <c r="A132" s="7">
        <v>131</v>
      </c>
      <c r="B132" s="7" t="s">
        <v>55</v>
      </c>
      <c r="C132" s="7">
        <v>2018</v>
      </c>
      <c r="D132" s="8" t="s">
        <v>338</v>
      </c>
      <c r="E132" s="9" t="s">
        <v>60</v>
      </c>
      <c r="F132" s="8" t="s">
        <v>61</v>
      </c>
      <c r="G132" s="10" t="s">
        <v>16</v>
      </c>
      <c r="H132" s="11"/>
      <c r="I132" s="11"/>
    </row>
    <row r="133" spans="1:9" ht="34.5" customHeight="1" x14ac:dyDescent="0.25">
      <c r="A133" s="7">
        <v>132</v>
      </c>
      <c r="B133" s="7" t="s">
        <v>65</v>
      </c>
      <c r="C133" s="7">
        <v>2018</v>
      </c>
      <c r="D133" s="8" t="s">
        <v>339</v>
      </c>
      <c r="E133" s="9" t="s">
        <v>60</v>
      </c>
      <c r="F133" s="8" t="s">
        <v>61</v>
      </c>
      <c r="G133" s="10" t="s">
        <v>17</v>
      </c>
      <c r="H133" s="11"/>
      <c r="I133" s="11" t="s">
        <v>340</v>
      </c>
    </row>
    <row r="134" spans="1:9" ht="191.25" customHeight="1" x14ac:dyDescent="0.25">
      <c r="A134" s="7">
        <v>133</v>
      </c>
      <c r="B134" s="7" t="s">
        <v>174</v>
      </c>
      <c r="C134" s="7">
        <v>2022</v>
      </c>
      <c r="D134" s="8" t="s">
        <v>341</v>
      </c>
      <c r="E134" s="9" t="s">
        <v>37</v>
      </c>
      <c r="F134" s="8" t="s">
        <v>63</v>
      </c>
      <c r="G134" s="10" t="s">
        <v>16</v>
      </c>
      <c r="H134" s="11"/>
      <c r="I134" s="11"/>
    </row>
    <row r="135" spans="1:9" ht="102" customHeight="1" x14ac:dyDescent="0.25">
      <c r="A135" s="7">
        <v>134</v>
      </c>
      <c r="B135" s="7" t="s">
        <v>65</v>
      </c>
      <c r="C135" s="7">
        <v>2017</v>
      </c>
      <c r="D135" s="8" t="s">
        <v>342</v>
      </c>
      <c r="E135" s="9" t="s">
        <v>60</v>
      </c>
      <c r="F135" s="8" t="s">
        <v>61</v>
      </c>
      <c r="G135" s="10" t="s">
        <v>16</v>
      </c>
      <c r="H135" s="11"/>
      <c r="I135" s="11"/>
    </row>
    <row r="136" spans="1:9" ht="34.5" customHeight="1" x14ac:dyDescent="0.25">
      <c r="A136" s="7">
        <v>135</v>
      </c>
      <c r="B136" s="7" t="s">
        <v>49</v>
      </c>
      <c r="C136" s="7">
        <v>2019</v>
      </c>
      <c r="D136" s="8" t="s">
        <v>343</v>
      </c>
      <c r="E136" s="9" t="s">
        <v>137</v>
      </c>
      <c r="F136" s="8" t="s">
        <v>138</v>
      </c>
      <c r="G136" s="10" t="s">
        <v>16</v>
      </c>
      <c r="H136" s="11"/>
      <c r="I136" s="11" t="s">
        <v>344</v>
      </c>
    </row>
    <row r="137" spans="1:9" ht="57" customHeight="1" x14ac:dyDescent="0.25">
      <c r="A137" s="7">
        <v>136</v>
      </c>
      <c r="B137" s="7" t="s">
        <v>51</v>
      </c>
      <c r="C137" s="7">
        <v>2018</v>
      </c>
      <c r="D137" s="8" t="s">
        <v>345</v>
      </c>
      <c r="E137" s="9" t="s">
        <v>35</v>
      </c>
      <c r="F137" s="8" t="s">
        <v>36</v>
      </c>
      <c r="G137" s="10" t="s">
        <v>16</v>
      </c>
      <c r="H137" s="11"/>
      <c r="I137" s="11"/>
    </row>
    <row r="138" spans="1:9" ht="102" customHeight="1" x14ac:dyDescent="0.25">
      <c r="A138" s="7">
        <v>137</v>
      </c>
      <c r="B138" s="7" t="s">
        <v>65</v>
      </c>
      <c r="C138" s="7">
        <v>2013</v>
      </c>
      <c r="D138" s="8" t="s">
        <v>346</v>
      </c>
      <c r="E138" s="9" t="s">
        <v>60</v>
      </c>
      <c r="F138" s="8" t="s">
        <v>61</v>
      </c>
      <c r="G138" s="10" t="s">
        <v>16</v>
      </c>
      <c r="H138" s="11"/>
      <c r="I138" s="11" t="s">
        <v>347</v>
      </c>
    </row>
    <row r="139" spans="1:9" ht="45.75" customHeight="1" x14ac:dyDescent="0.25">
      <c r="A139" s="7">
        <v>138</v>
      </c>
      <c r="B139" s="7" t="s">
        <v>174</v>
      </c>
      <c r="C139" s="7">
        <v>2015</v>
      </c>
      <c r="D139" s="8" t="s">
        <v>348</v>
      </c>
      <c r="E139" s="9" t="s">
        <v>309</v>
      </c>
      <c r="F139" s="8" t="s">
        <v>310</v>
      </c>
      <c r="G139" s="10" t="s">
        <v>18</v>
      </c>
      <c r="H139" s="11" t="s">
        <v>116</v>
      </c>
      <c r="I139" s="11" t="s">
        <v>349</v>
      </c>
    </row>
    <row r="140" spans="1:9" ht="34.5" customHeight="1" x14ac:dyDescent="0.25">
      <c r="A140" s="7">
        <v>139</v>
      </c>
      <c r="B140" s="7" t="s">
        <v>33</v>
      </c>
      <c r="C140" s="7">
        <v>2019</v>
      </c>
      <c r="D140" s="8" t="s">
        <v>350</v>
      </c>
      <c r="E140" s="9" t="s">
        <v>114</v>
      </c>
      <c r="F140" s="8" t="s">
        <v>115</v>
      </c>
      <c r="G140" s="10" t="s">
        <v>17</v>
      </c>
      <c r="H140" s="11" t="s">
        <v>116</v>
      </c>
      <c r="I140" s="11" t="s">
        <v>351</v>
      </c>
    </row>
    <row r="141" spans="1:9" ht="147" customHeight="1" x14ac:dyDescent="0.25">
      <c r="A141" s="7">
        <v>140</v>
      </c>
      <c r="B141" s="7" t="s">
        <v>51</v>
      </c>
      <c r="C141" s="7">
        <v>2022</v>
      </c>
      <c r="D141" s="8" t="s">
        <v>352</v>
      </c>
      <c r="E141" s="9" t="s">
        <v>239</v>
      </c>
      <c r="F141" s="8" t="s">
        <v>353</v>
      </c>
      <c r="G141" s="10" t="s">
        <v>17</v>
      </c>
      <c r="H141" s="11" t="s">
        <v>309</v>
      </c>
      <c r="I141" s="11" t="s">
        <v>354</v>
      </c>
    </row>
    <row r="142" spans="1:9" ht="57" customHeight="1" x14ac:dyDescent="0.25">
      <c r="A142" s="7">
        <v>141</v>
      </c>
      <c r="B142" s="7" t="s">
        <v>88</v>
      </c>
      <c r="C142" s="7">
        <v>2017</v>
      </c>
      <c r="D142" s="8" t="s">
        <v>355</v>
      </c>
      <c r="E142" s="9" t="s">
        <v>35</v>
      </c>
      <c r="F142" s="8" t="s">
        <v>36</v>
      </c>
      <c r="G142" s="10" t="s">
        <v>17</v>
      </c>
      <c r="H142" s="11" t="s">
        <v>203</v>
      </c>
      <c r="I142" s="11" t="s">
        <v>356</v>
      </c>
    </row>
    <row r="143" spans="1:9" ht="90.75" customHeight="1" x14ac:dyDescent="0.25">
      <c r="A143" s="7">
        <v>142</v>
      </c>
      <c r="B143" s="7" t="s">
        <v>65</v>
      </c>
      <c r="C143" s="7">
        <v>2017</v>
      </c>
      <c r="D143" s="8" t="s">
        <v>357</v>
      </c>
      <c r="E143" s="9" t="s">
        <v>60</v>
      </c>
      <c r="F143" s="8" t="s">
        <v>61</v>
      </c>
      <c r="G143" s="10" t="s">
        <v>16</v>
      </c>
      <c r="H143" s="11"/>
      <c r="I143" s="11"/>
    </row>
    <row r="144" spans="1:9" ht="45.75" customHeight="1" x14ac:dyDescent="0.25">
      <c r="A144" s="7">
        <v>143</v>
      </c>
      <c r="B144" s="7" t="s">
        <v>51</v>
      </c>
      <c r="C144" s="7">
        <v>2017</v>
      </c>
      <c r="D144" s="8" t="s">
        <v>358</v>
      </c>
      <c r="E144" s="9" t="s">
        <v>37</v>
      </c>
      <c r="F144" s="8" t="s">
        <v>63</v>
      </c>
      <c r="G144" s="10" t="s">
        <v>16</v>
      </c>
      <c r="H144" s="11"/>
      <c r="I144" s="11"/>
    </row>
    <row r="145" spans="1:9" ht="34.5" customHeight="1" x14ac:dyDescent="0.25">
      <c r="A145" s="7">
        <v>144</v>
      </c>
      <c r="B145" s="7" t="s">
        <v>232</v>
      </c>
      <c r="C145" s="7">
        <v>2022</v>
      </c>
      <c r="D145" s="8" t="s">
        <v>359</v>
      </c>
      <c r="E145" s="9" t="s">
        <v>278</v>
      </c>
      <c r="F145" s="8" t="s">
        <v>279</v>
      </c>
      <c r="G145" s="10" t="s">
        <v>17</v>
      </c>
      <c r="H145" s="11" t="s">
        <v>31</v>
      </c>
      <c r="I145" s="11" t="s">
        <v>360</v>
      </c>
    </row>
    <row r="146" spans="1:9" ht="68.25" customHeight="1" x14ac:dyDescent="0.25">
      <c r="A146" s="7">
        <v>145</v>
      </c>
      <c r="B146" s="7" t="s">
        <v>161</v>
      </c>
      <c r="C146" s="7">
        <v>2021</v>
      </c>
      <c r="D146" s="8" t="s">
        <v>361</v>
      </c>
      <c r="E146" s="9" t="s">
        <v>257</v>
      </c>
      <c r="F146" s="8" t="s">
        <v>258</v>
      </c>
      <c r="G146" s="10" t="s">
        <v>18</v>
      </c>
      <c r="H146" s="11" t="s">
        <v>328</v>
      </c>
      <c r="I146" s="11" t="s">
        <v>362</v>
      </c>
    </row>
    <row r="147" spans="1:9" ht="34.5" customHeight="1" x14ac:dyDescent="0.25">
      <c r="A147" s="7">
        <v>146</v>
      </c>
      <c r="B147" s="7" t="s">
        <v>65</v>
      </c>
      <c r="C147" s="7">
        <v>2020</v>
      </c>
      <c r="D147" s="8" t="s">
        <v>363</v>
      </c>
      <c r="E147" s="9" t="s">
        <v>35</v>
      </c>
      <c r="F147" s="8" t="s">
        <v>36</v>
      </c>
      <c r="G147" s="10" t="s">
        <v>16</v>
      </c>
      <c r="H147" s="11"/>
      <c r="I147" s="11"/>
    </row>
    <row r="148" spans="1:9" ht="34.5" customHeight="1" x14ac:dyDescent="0.25">
      <c r="A148" s="7">
        <v>147</v>
      </c>
      <c r="B148" s="7" t="s">
        <v>55</v>
      </c>
      <c r="C148" s="7">
        <v>2012</v>
      </c>
      <c r="D148" s="8" t="s">
        <v>364</v>
      </c>
      <c r="E148" s="9" t="s">
        <v>57</v>
      </c>
      <c r="F148" s="8" t="s">
        <v>58</v>
      </c>
      <c r="G148" s="10" t="s">
        <v>16</v>
      </c>
      <c r="H148" s="11"/>
      <c r="I148" s="11"/>
    </row>
    <row r="149" spans="1:9" ht="57" customHeight="1" x14ac:dyDescent="0.25">
      <c r="A149" s="7">
        <v>148</v>
      </c>
      <c r="B149" s="7" t="s">
        <v>33</v>
      </c>
      <c r="C149" s="7">
        <v>2016</v>
      </c>
      <c r="D149" s="8" t="s">
        <v>365</v>
      </c>
      <c r="E149" s="9" t="s">
        <v>60</v>
      </c>
      <c r="F149" s="8" t="s">
        <v>61</v>
      </c>
      <c r="G149" s="10" t="s">
        <v>18</v>
      </c>
      <c r="H149" s="11" t="s">
        <v>31</v>
      </c>
      <c r="I149" s="11" t="s">
        <v>366</v>
      </c>
    </row>
    <row r="150" spans="1:9" ht="79.5" customHeight="1" x14ac:dyDescent="0.25">
      <c r="A150" s="7">
        <v>149</v>
      </c>
      <c r="B150" s="7" t="s">
        <v>112</v>
      </c>
      <c r="C150" s="7">
        <v>2015</v>
      </c>
      <c r="D150" s="8" t="s">
        <v>367</v>
      </c>
      <c r="E150" s="9" t="s">
        <v>90</v>
      </c>
      <c r="F150" s="8" t="s">
        <v>91</v>
      </c>
      <c r="G150" s="10" t="s">
        <v>16</v>
      </c>
      <c r="H150" s="11"/>
      <c r="I150" s="11"/>
    </row>
    <row r="151" spans="1:9" ht="79.5" customHeight="1" x14ac:dyDescent="0.25">
      <c r="A151" s="7">
        <v>150</v>
      </c>
      <c r="B151" s="7" t="s">
        <v>39</v>
      </c>
      <c r="C151" s="7">
        <v>2017</v>
      </c>
      <c r="D151" s="8" t="s">
        <v>368</v>
      </c>
      <c r="E151" s="9" t="s">
        <v>41</v>
      </c>
      <c r="F151" s="8" t="s">
        <v>42</v>
      </c>
      <c r="G151" s="10" t="s">
        <v>16</v>
      </c>
      <c r="H151" s="11"/>
      <c r="I151" s="11"/>
    </row>
    <row r="152" spans="1:9" ht="124.5" customHeight="1" x14ac:dyDescent="0.25">
      <c r="A152" s="7">
        <v>151</v>
      </c>
      <c r="B152" s="7" t="s">
        <v>49</v>
      </c>
      <c r="C152" s="7">
        <v>2022</v>
      </c>
      <c r="D152" s="8" t="s">
        <v>369</v>
      </c>
      <c r="E152" s="9" t="s">
        <v>74</v>
      </c>
      <c r="F152" s="8" t="s">
        <v>75</v>
      </c>
      <c r="G152" s="10" t="s">
        <v>18</v>
      </c>
      <c r="H152" s="11" t="s">
        <v>309</v>
      </c>
      <c r="I152" s="11" t="s">
        <v>370</v>
      </c>
    </row>
    <row r="153" spans="1:9" ht="90.75" customHeight="1" x14ac:dyDescent="0.25">
      <c r="A153" s="7">
        <v>152</v>
      </c>
      <c r="B153" s="7" t="s">
        <v>65</v>
      </c>
      <c r="C153" s="7">
        <v>2013</v>
      </c>
      <c r="D153" s="8" t="s">
        <v>371</v>
      </c>
      <c r="E153" s="9" t="s">
        <v>57</v>
      </c>
      <c r="F153" s="8" t="s">
        <v>58</v>
      </c>
      <c r="G153" s="10" t="s">
        <v>16</v>
      </c>
      <c r="H153" s="11"/>
      <c r="I153" s="11"/>
    </row>
    <row r="154" spans="1:9" ht="102" customHeight="1" x14ac:dyDescent="0.25">
      <c r="A154" s="7">
        <v>153</v>
      </c>
      <c r="B154" s="7" t="s">
        <v>130</v>
      </c>
      <c r="C154" s="7">
        <v>2014</v>
      </c>
      <c r="D154" s="8" t="s">
        <v>372</v>
      </c>
      <c r="E154" s="9" t="s">
        <v>57</v>
      </c>
      <c r="F154" s="8" t="s">
        <v>58</v>
      </c>
      <c r="G154" s="10" t="s">
        <v>16</v>
      </c>
      <c r="H154" s="11"/>
      <c r="I154" s="11"/>
    </row>
    <row r="155" spans="1:9" ht="34.5" customHeight="1" x14ac:dyDescent="0.25">
      <c r="A155" s="7">
        <v>154</v>
      </c>
      <c r="B155" s="7" t="s">
        <v>49</v>
      </c>
      <c r="C155" s="7">
        <v>2020</v>
      </c>
      <c r="D155" s="8" t="s">
        <v>373</v>
      </c>
      <c r="E155" s="9" t="s">
        <v>35</v>
      </c>
      <c r="F155" s="8" t="s">
        <v>36</v>
      </c>
      <c r="G155" s="10" t="s">
        <v>16</v>
      </c>
      <c r="H155" s="11"/>
      <c r="I155" s="11"/>
    </row>
    <row r="156" spans="1:9" ht="113.25" customHeight="1" x14ac:dyDescent="0.25">
      <c r="A156" s="7">
        <v>155</v>
      </c>
      <c r="B156" s="7" t="s">
        <v>68</v>
      </c>
      <c r="C156" s="7">
        <v>2024</v>
      </c>
      <c r="D156" s="8" t="s">
        <v>374</v>
      </c>
      <c r="E156" s="9" t="s">
        <v>223</v>
      </c>
      <c r="F156" s="8" t="s">
        <v>224</v>
      </c>
      <c r="G156" s="10" t="s">
        <v>16</v>
      </c>
      <c r="H156" s="11"/>
      <c r="I156" s="11"/>
    </row>
    <row r="157" spans="1:9" ht="68.25" customHeight="1" x14ac:dyDescent="0.25">
      <c r="A157" s="7">
        <v>156</v>
      </c>
      <c r="B157" s="7" t="s">
        <v>177</v>
      </c>
      <c r="C157" s="7">
        <v>2022</v>
      </c>
      <c r="D157" s="8" t="s">
        <v>375</v>
      </c>
      <c r="E157" s="9" t="s">
        <v>278</v>
      </c>
      <c r="F157" s="8" t="s">
        <v>279</v>
      </c>
      <c r="G157" s="10" t="s">
        <v>17</v>
      </c>
      <c r="H157" s="11" t="s">
        <v>31</v>
      </c>
      <c r="I157" s="11" t="s">
        <v>376</v>
      </c>
    </row>
    <row r="158" spans="1:9" ht="236.25" customHeight="1" x14ac:dyDescent="0.25">
      <c r="A158" s="7">
        <v>157</v>
      </c>
      <c r="B158" s="7" t="s">
        <v>177</v>
      </c>
      <c r="C158" s="7">
        <v>2023</v>
      </c>
      <c r="D158" s="8" t="s">
        <v>377</v>
      </c>
      <c r="E158" s="9" t="s">
        <v>74</v>
      </c>
      <c r="F158" s="8" t="s">
        <v>75</v>
      </c>
      <c r="G158" s="10" t="s">
        <v>16</v>
      </c>
      <c r="H158" s="11"/>
      <c r="I158" s="11" t="s">
        <v>378</v>
      </c>
    </row>
    <row r="159" spans="1:9" ht="236.25" customHeight="1" x14ac:dyDescent="0.25">
      <c r="A159" s="7">
        <v>158</v>
      </c>
      <c r="B159" s="7" t="s">
        <v>170</v>
      </c>
      <c r="C159" s="7">
        <v>2020</v>
      </c>
      <c r="D159" s="8" t="s">
        <v>379</v>
      </c>
      <c r="E159" s="9" t="s">
        <v>74</v>
      </c>
      <c r="F159" s="8" t="s">
        <v>75</v>
      </c>
      <c r="G159" s="10" t="s">
        <v>17</v>
      </c>
      <c r="H159" s="11" t="s">
        <v>37</v>
      </c>
      <c r="I159" s="11" t="s">
        <v>380</v>
      </c>
    </row>
    <row r="160" spans="1:9" ht="34.5" customHeight="1" x14ac:dyDescent="0.25">
      <c r="A160" s="7">
        <v>159</v>
      </c>
      <c r="B160" s="7" t="s">
        <v>55</v>
      </c>
      <c r="C160" s="7">
        <v>2014</v>
      </c>
      <c r="D160" s="8" t="s">
        <v>381</v>
      </c>
      <c r="E160" s="9" t="s">
        <v>382</v>
      </c>
      <c r="F160" s="8" t="s">
        <v>383</v>
      </c>
      <c r="G160" s="10" t="s">
        <v>17</v>
      </c>
      <c r="H160" s="11" t="s">
        <v>149</v>
      </c>
      <c r="I160" s="11" t="s">
        <v>384</v>
      </c>
    </row>
    <row r="161" spans="1:9" ht="68.25" customHeight="1" x14ac:dyDescent="0.25">
      <c r="A161" s="7">
        <v>160</v>
      </c>
      <c r="B161" s="7" t="s">
        <v>55</v>
      </c>
      <c r="C161" s="7">
        <v>2015</v>
      </c>
      <c r="D161" s="8" t="s">
        <v>385</v>
      </c>
      <c r="E161" s="9" t="s">
        <v>134</v>
      </c>
      <c r="F161" s="8" t="s">
        <v>135</v>
      </c>
      <c r="G161" s="10" t="s">
        <v>16</v>
      </c>
      <c r="H161" s="11"/>
      <c r="I161" s="11"/>
    </row>
    <row r="162" spans="1:9" ht="34.5" customHeight="1" x14ac:dyDescent="0.25">
      <c r="A162" s="7">
        <v>161</v>
      </c>
      <c r="B162" s="7" t="s">
        <v>386</v>
      </c>
      <c r="C162" s="7">
        <v>2017</v>
      </c>
      <c r="D162" s="8" t="s">
        <v>387</v>
      </c>
      <c r="E162" s="9" t="s">
        <v>60</v>
      </c>
      <c r="F162" s="8" t="s">
        <v>61</v>
      </c>
      <c r="G162" s="10" t="s">
        <v>16</v>
      </c>
      <c r="H162" s="11"/>
      <c r="I162" s="11"/>
    </row>
    <row r="163" spans="1:9" ht="45.75" customHeight="1" x14ac:dyDescent="0.25">
      <c r="A163" s="7">
        <v>162</v>
      </c>
      <c r="B163" s="7" t="s">
        <v>51</v>
      </c>
      <c r="C163" s="7">
        <v>2013</v>
      </c>
      <c r="D163" s="8" t="s">
        <v>388</v>
      </c>
      <c r="E163" s="9" t="s">
        <v>74</v>
      </c>
      <c r="F163" s="8" t="s">
        <v>75</v>
      </c>
      <c r="G163" s="10" t="s">
        <v>16</v>
      </c>
      <c r="H163" s="11"/>
      <c r="I163" s="11"/>
    </row>
    <row r="164" spans="1:9" ht="68.25" customHeight="1" x14ac:dyDescent="0.25">
      <c r="A164" s="7">
        <v>163</v>
      </c>
      <c r="B164" s="7" t="s">
        <v>389</v>
      </c>
      <c r="C164" s="7">
        <v>2022</v>
      </c>
      <c r="D164" s="8" t="s">
        <v>390</v>
      </c>
      <c r="E164" s="9" t="s">
        <v>309</v>
      </c>
      <c r="F164" s="8" t="s">
        <v>310</v>
      </c>
      <c r="G164" s="10" t="s">
        <v>16</v>
      </c>
      <c r="H164" s="11"/>
      <c r="I164" s="11"/>
    </row>
    <row r="165" spans="1:9" ht="34.5" customHeight="1" x14ac:dyDescent="0.25">
      <c r="A165" s="7">
        <v>164</v>
      </c>
      <c r="B165" s="7" t="s">
        <v>55</v>
      </c>
      <c r="C165" s="7">
        <v>2010</v>
      </c>
      <c r="D165" s="8" t="s">
        <v>391</v>
      </c>
      <c r="E165" s="9" t="s">
        <v>57</v>
      </c>
      <c r="F165" s="8" t="s">
        <v>58</v>
      </c>
      <c r="G165" s="10" t="s">
        <v>16</v>
      </c>
      <c r="H165" s="11"/>
      <c r="I165" s="11"/>
    </row>
    <row r="166" spans="1:9" ht="90.75" customHeight="1" x14ac:dyDescent="0.25">
      <c r="A166" s="7">
        <v>165</v>
      </c>
      <c r="B166" s="7" t="s">
        <v>51</v>
      </c>
      <c r="C166" s="7">
        <v>2017</v>
      </c>
      <c r="D166" s="8" t="s">
        <v>392</v>
      </c>
      <c r="E166" s="9" t="s">
        <v>90</v>
      </c>
      <c r="F166" s="8" t="s">
        <v>91</v>
      </c>
      <c r="G166" s="10" t="s">
        <v>16</v>
      </c>
      <c r="H166" s="11"/>
      <c r="I166" s="11" t="s">
        <v>393</v>
      </c>
    </row>
    <row r="167" spans="1:9" ht="90.75" customHeight="1" x14ac:dyDescent="0.25">
      <c r="A167" s="7">
        <v>166</v>
      </c>
      <c r="B167" s="7" t="s">
        <v>389</v>
      </c>
      <c r="C167" s="7">
        <v>2021</v>
      </c>
      <c r="D167" s="8" t="s">
        <v>394</v>
      </c>
      <c r="E167" s="9" t="s">
        <v>257</v>
      </c>
      <c r="F167" s="8" t="s">
        <v>258</v>
      </c>
      <c r="G167" s="10" t="s">
        <v>17</v>
      </c>
      <c r="H167" s="11"/>
      <c r="I167" s="11" t="s">
        <v>395</v>
      </c>
    </row>
    <row r="168" spans="1:9" ht="23.25" customHeight="1" x14ac:dyDescent="0.25">
      <c r="A168" s="7">
        <v>167</v>
      </c>
      <c r="B168" s="7" t="s">
        <v>65</v>
      </c>
      <c r="C168" s="7">
        <v>2014</v>
      </c>
      <c r="D168" s="8" t="s">
        <v>396</v>
      </c>
      <c r="E168" s="9" t="s">
        <v>203</v>
      </c>
      <c r="F168" s="8" t="s">
        <v>204</v>
      </c>
      <c r="G168" s="10" t="s">
        <v>16</v>
      </c>
      <c r="H168" s="11"/>
      <c r="I168" s="11" t="s">
        <v>397</v>
      </c>
    </row>
    <row r="169" spans="1:9" ht="34.5" customHeight="1" x14ac:dyDescent="0.25">
      <c r="A169" s="7">
        <v>168</v>
      </c>
      <c r="B169" s="7" t="s">
        <v>65</v>
      </c>
      <c r="C169" s="7">
        <v>2022</v>
      </c>
      <c r="D169" s="8" t="s">
        <v>398</v>
      </c>
      <c r="E169" s="9" t="s">
        <v>57</v>
      </c>
      <c r="F169" s="8" t="s">
        <v>58</v>
      </c>
      <c r="G169" s="10" t="s">
        <v>17</v>
      </c>
      <c r="H169" s="11"/>
      <c r="I169" s="11" t="s">
        <v>399</v>
      </c>
    </row>
    <row r="170" spans="1:9" ht="34.5" customHeight="1" x14ac:dyDescent="0.25">
      <c r="A170" s="7">
        <v>169</v>
      </c>
      <c r="B170" s="7" t="s">
        <v>112</v>
      </c>
      <c r="C170" s="7">
        <v>2019</v>
      </c>
      <c r="D170" s="8" t="s">
        <v>400</v>
      </c>
      <c r="E170" s="9" t="s">
        <v>401</v>
      </c>
      <c r="F170" s="8" t="s">
        <v>402</v>
      </c>
      <c r="G170" s="10" t="s">
        <v>16</v>
      </c>
      <c r="H170" s="11"/>
      <c r="I170" s="11"/>
    </row>
    <row r="171" spans="1:9" ht="90.75" customHeight="1" x14ac:dyDescent="0.25">
      <c r="A171" s="7">
        <v>170</v>
      </c>
      <c r="B171" s="7" t="s">
        <v>170</v>
      </c>
      <c r="C171" s="7">
        <v>2025</v>
      </c>
      <c r="D171" s="8" t="s">
        <v>403</v>
      </c>
      <c r="E171" s="9" t="s">
        <v>100</v>
      </c>
      <c r="F171" s="8" t="s">
        <v>101</v>
      </c>
      <c r="G171" s="10" t="s">
        <v>16</v>
      </c>
      <c r="H171" s="11"/>
      <c r="I171" s="11"/>
    </row>
    <row r="172" spans="1:9" ht="34.5" customHeight="1" x14ac:dyDescent="0.25">
      <c r="A172" s="7">
        <v>171</v>
      </c>
      <c r="B172" s="7" t="s">
        <v>55</v>
      </c>
      <c r="C172" s="7">
        <v>2015</v>
      </c>
      <c r="D172" s="8" t="s">
        <v>404</v>
      </c>
      <c r="E172" s="9" t="s">
        <v>60</v>
      </c>
      <c r="F172" s="8" t="s">
        <v>61</v>
      </c>
      <c r="G172" s="10" t="s">
        <v>16</v>
      </c>
      <c r="H172" s="11"/>
      <c r="I172" s="11"/>
    </row>
    <row r="173" spans="1:9" ht="68.25" customHeight="1" x14ac:dyDescent="0.25">
      <c r="A173" s="7">
        <v>172</v>
      </c>
      <c r="B173" s="7" t="s">
        <v>51</v>
      </c>
      <c r="C173" s="7">
        <v>2013</v>
      </c>
      <c r="D173" s="8" t="s">
        <v>405</v>
      </c>
      <c r="E173" s="9" t="s">
        <v>35</v>
      </c>
      <c r="F173" s="8" t="s">
        <v>36</v>
      </c>
      <c r="G173" s="10" t="s">
        <v>16</v>
      </c>
      <c r="H173" s="11"/>
      <c r="I173" s="11"/>
    </row>
    <row r="174" spans="1:9" ht="68.25" customHeight="1" x14ac:dyDescent="0.25">
      <c r="A174" s="7">
        <v>173</v>
      </c>
      <c r="B174" s="7" t="s">
        <v>51</v>
      </c>
      <c r="C174" s="7">
        <v>2018</v>
      </c>
      <c r="D174" s="8" t="s">
        <v>406</v>
      </c>
      <c r="E174" s="9" t="s">
        <v>74</v>
      </c>
      <c r="F174" s="8" t="s">
        <v>75</v>
      </c>
      <c r="G174" s="10" t="s">
        <v>16</v>
      </c>
      <c r="H174" s="11"/>
      <c r="I174" s="11" t="s">
        <v>407</v>
      </c>
    </row>
    <row r="175" spans="1:9" ht="23.25" customHeight="1" x14ac:dyDescent="0.25">
      <c r="A175" s="7">
        <v>174</v>
      </c>
      <c r="B175" s="7" t="s">
        <v>51</v>
      </c>
      <c r="C175" s="7">
        <v>2018</v>
      </c>
      <c r="D175" s="8" t="s">
        <v>408</v>
      </c>
      <c r="E175" s="9" t="s">
        <v>409</v>
      </c>
      <c r="F175" s="8" t="s">
        <v>410</v>
      </c>
      <c r="G175" s="10" t="s">
        <v>17</v>
      </c>
      <c r="H175" s="11" t="s">
        <v>31</v>
      </c>
      <c r="I175" s="11" t="s">
        <v>411</v>
      </c>
    </row>
    <row r="176" spans="1:9" ht="34.5" customHeight="1" x14ac:dyDescent="0.25">
      <c r="A176" s="7">
        <v>175</v>
      </c>
      <c r="B176" s="7" t="s">
        <v>33</v>
      </c>
      <c r="C176" s="7">
        <v>2016</v>
      </c>
      <c r="D176" s="8" t="s">
        <v>412</v>
      </c>
      <c r="E176" s="9" t="s">
        <v>57</v>
      </c>
      <c r="F176" s="8" t="s">
        <v>58</v>
      </c>
      <c r="G176" s="10" t="s">
        <v>17</v>
      </c>
      <c r="H176" s="11" t="s">
        <v>122</v>
      </c>
      <c r="I176" s="11" t="s">
        <v>413</v>
      </c>
    </row>
    <row r="177" spans="1:9" ht="68.25" customHeight="1" x14ac:dyDescent="0.25">
      <c r="A177" s="7">
        <v>176</v>
      </c>
      <c r="B177" s="7" t="s">
        <v>55</v>
      </c>
      <c r="C177" s="7">
        <v>2017</v>
      </c>
      <c r="D177" s="8" t="s">
        <v>414</v>
      </c>
      <c r="E177" s="9" t="s">
        <v>37</v>
      </c>
      <c r="F177" s="8" t="s">
        <v>63</v>
      </c>
      <c r="G177" s="10" t="s">
        <v>16</v>
      </c>
      <c r="H177" s="11"/>
      <c r="I177" s="11"/>
    </row>
    <row r="178" spans="1:9" ht="113.25" customHeight="1" x14ac:dyDescent="0.25">
      <c r="A178" s="7">
        <v>177</v>
      </c>
      <c r="B178" s="7" t="s">
        <v>51</v>
      </c>
      <c r="C178" s="7">
        <v>2011</v>
      </c>
      <c r="D178" s="8" t="s">
        <v>415</v>
      </c>
      <c r="E178" s="9" t="s">
        <v>37</v>
      </c>
      <c r="F178" s="8" t="s">
        <v>63</v>
      </c>
      <c r="G178" s="10" t="s">
        <v>16</v>
      </c>
      <c r="H178" s="11"/>
      <c r="I178" s="11"/>
    </row>
    <row r="179" spans="1:9" ht="57" customHeight="1" x14ac:dyDescent="0.25">
      <c r="A179" s="7">
        <v>178</v>
      </c>
      <c r="B179" s="7" t="s">
        <v>51</v>
      </c>
      <c r="C179" s="7">
        <v>2017</v>
      </c>
      <c r="D179" s="8" t="s">
        <v>416</v>
      </c>
      <c r="E179" s="9" t="s">
        <v>142</v>
      </c>
      <c r="F179" s="8" t="s">
        <v>143</v>
      </c>
      <c r="G179" s="10" t="s">
        <v>16</v>
      </c>
      <c r="H179" s="11"/>
      <c r="I179" s="11"/>
    </row>
    <row r="180" spans="1:9" ht="68.25" customHeight="1" x14ac:dyDescent="0.25">
      <c r="A180" s="7">
        <v>179</v>
      </c>
      <c r="B180" s="7" t="s">
        <v>33</v>
      </c>
      <c r="C180" s="7">
        <v>2014</v>
      </c>
      <c r="D180" s="8" t="s">
        <v>417</v>
      </c>
      <c r="E180" s="9" t="s">
        <v>215</v>
      </c>
      <c r="F180" s="8" t="s">
        <v>216</v>
      </c>
      <c r="G180" s="10" t="s">
        <v>16</v>
      </c>
      <c r="H180" s="11"/>
      <c r="I180" s="11" t="s">
        <v>418</v>
      </c>
    </row>
    <row r="181" spans="1:9" ht="102" customHeight="1" x14ac:dyDescent="0.25">
      <c r="A181" s="7">
        <v>180</v>
      </c>
      <c r="B181" s="7" t="s">
        <v>55</v>
      </c>
      <c r="C181" s="7">
        <v>2011</v>
      </c>
      <c r="D181" s="8" t="s">
        <v>419</v>
      </c>
      <c r="E181" s="9" t="s">
        <v>195</v>
      </c>
      <c r="F181" s="8" t="s">
        <v>196</v>
      </c>
      <c r="G181" s="10" t="s">
        <v>17</v>
      </c>
      <c r="H181" s="11" t="s">
        <v>90</v>
      </c>
      <c r="I181" s="11" t="s">
        <v>420</v>
      </c>
    </row>
    <row r="182" spans="1:9" ht="34.5" customHeight="1" x14ac:dyDescent="0.25">
      <c r="A182" s="7">
        <v>181</v>
      </c>
      <c r="B182" s="7" t="s">
        <v>72</v>
      </c>
      <c r="C182" s="7">
        <v>2013</v>
      </c>
      <c r="D182" s="8" t="s">
        <v>421</v>
      </c>
      <c r="E182" s="9" t="s">
        <v>37</v>
      </c>
      <c r="F182" s="8" t="s">
        <v>63</v>
      </c>
      <c r="G182" s="10" t="s">
        <v>16</v>
      </c>
      <c r="H182" s="11"/>
      <c r="I182" s="11"/>
    </row>
    <row r="183" spans="1:9" ht="34.5" customHeight="1" x14ac:dyDescent="0.25">
      <c r="A183" s="7">
        <v>182</v>
      </c>
      <c r="B183" s="7" t="s">
        <v>55</v>
      </c>
      <c r="C183" s="7">
        <v>2016</v>
      </c>
      <c r="D183" s="8" t="s">
        <v>422</v>
      </c>
      <c r="E183" s="9" t="s">
        <v>142</v>
      </c>
      <c r="F183" s="8" t="s">
        <v>143</v>
      </c>
      <c r="G183" s="10" t="s">
        <v>16</v>
      </c>
      <c r="H183" s="11"/>
      <c r="I183" s="11"/>
    </row>
    <row r="184" spans="1:9" ht="45.75" customHeight="1" x14ac:dyDescent="0.25">
      <c r="A184" s="7">
        <v>183</v>
      </c>
      <c r="B184" s="7" t="s">
        <v>112</v>
      </c>
      <c r="C184" s="7">
        <v>2017</v>
      </c>
      <c r="D184" s="8" t="s">
        <v>423</v>
      </c>
      <c r="E184" s="9" t="s">
        <v>60</v>
      </c>
      <c r="F184" s="8" t="s">
        <v>61</v>
      </c>
      <c r="G184" s="10" t="s">
        <v>16</v>
      </c>
      <c r="H184" s="11"/>
      <c r="I184" s="11"/>
    </row>
    <row r="185" spans="1:9" ht="45.75" customHeight="1" x14ac:dyDescent="0.25">
      <c r="A185" s="7">
        <v>184</v>
      </c>
      <c r="B185" s="7" t="s">
        <v>65</v>
      </c>
      <c r="C185" s="7">
        <v>2012</v>
      </c>
      <c r="D185" s="8" t="s">
        <v>424</v>
      </c>
      <c r="E185" s="9" t="s">
        <v>57</v>
      </c>
      <c r="F185" s="8" t="s">
        <v>58</v>
      </c>
      <c r="G185" s="10" t="s">
        <v>16</v>
      </c>
      <c r="H185" s="11"/>
      <c r="I185" s="11"/>
    </row>
    <row r="186" spans="1:9" ht="157.5" customHeight="1" x14ac:dyDescent="0.25">
      <c r="A186" s="7">
        <v>185</v>
      </c>
      <c r="B186" s="7" t="s">
        <v>39</v>
      </c>
      <c r="C186" s="7">
        <v>2017</v>
      </c>
      <c r="D186" s="8" t="s">
        <v>425</v>
      </c>
      <c r="E186" s="9" t="s">
        <v>223</v>
      </c>
      <c r="F186" s="8" t="s">
        <v>224</v>
      </c>
      <c r="G186" s="10" t="s">
        <v>16</v>
      </c>
      <c r="H186" s="11"/>
      <c r="I186" s="11"/>
    </row>
    <row r="187" spans="1:9" ht="68.25" customHeight="1" x14ac:dyDescent="0.25">
      <c r="A187" s="7">
        <v>186</v>
      </c>
      <c r="B187" s="7" t="s">
        <v>51</v>
      </c>
      <c r="C187" s="7">
        <v>2017</v>
      </c>
      <c r="D187" s="8" t="s">
        <v>426</v>
      </c>
      <c r="E187" s="9" t="s">
        <v>35</v>
      </c>
      <c r="F187" s="8" t="s">
        <v>36</v>
      </c>
      <c r="G187" s="10" t="s">
        <v>16</v>
      </c>
      <c r="H187" s="11"/>
      <c r="I187" s="11"/>
    </row>
    <row r="188" spans="1:9" ht="68.25" customHeight="1" x14ac:dyDescent="0.25">
      <c r="A188" s="7">
        <v>187</v>
      </c>
      <c r="B188" s="7" t="s">
        <v>51</v>
      </c>
      <c r="C188" s="7">
        <v>2021</v>
      </c>
      <c r="D188" s="8" t="s">
        <v>427</v>
      </c>
      <c r="E188" s="9" t="s">
        <v>81</v>
      </c>
      <c r="F188" s="8" t="s">
        <v>82</v>
      </c>
      <c r="G188" s="10" t="s">
        <v>17</v>
      </c>
      <c r="H188" s="11"/>
      <c r="I188" s="11" t="s">
        <v>428</v>
      </c>
    </row>
    <row r="189" spans="1:9" ht="57" customHeight="1" x14ac:dyDescent="0.25">
      <c r="A189" s="7">
        <v>188</v>
      </c>
      <c r="B189" s="7" t="s">
        <v>68</v>
      </c>
      <c r="C189" s="7">
        <v>2021</v>
      </c>
      <c r="D189" s="8" t="s">
        <v>429</v>
      </c>
      <c r="E189" s="9" t="s">
        <v>167</v>
      </c>
      <c r="F189" s="8" t="s">
        <v>168</v>
      </c>
      <c r="G189" s="10" t="s">
        <v>18</v>
      </c>
      <c r="H189" s="11" t="s">
        <v>31</v>
      </c>
      <c r="I189" s="11" t="s">
        <v>430</v>
      </c>
    </row>
    <row r="190" spans="1:9" ht="45.75" customHeight="1" x14ac:dyDescent="0.25">
      <c r="A190" s="7">
        <v>189</v>
      </c>
      <c r="B190" s="7" t="s">
        <v>65</v>
      </c>
      <c r="C190" s="7">
        <v>2017</v>
      </c>
      <c r="D190" s="8" t="s">
        <v>431</v>
      </c>
      <c r="E190" s="9" t="s">
        <v>60</v>
      </c>
      <c r="F190" s="8" t="s">
        <v>61</v>
      </c>
      <c r="G190" s="10" t="s">
        <v>16</v>
      </c>
      <c r="H190" s="11"/>
      <c r="I190" s="11"/>
    </row>
    <row r="191" spans="1:9" ht="34.5" customHeight="1" x14ac:dyDescent="0.25">
      <c r="A191" s="7">
        <v>190</v>
      </c>
      <c r="B191" s="7" t="s">
        <v>33</v>
      </c>
      <c r="C191" s="7">
        <v>2020</v>
      </c>
      <c r="D191" s="8" t="s">
        <v>432</v>
      </c>
      <c r="E191" s="9" t="s">
        <v>53</v>
      </c>
      <c r="F191" s="8" t="s">
        <v>54</v>
      </c>
      <c r="G191" s="10" t="s">
        <v>16</v>
      </c>
      <c r="H191" s="11"/>
      <c r="I191" s="11"/>
    </row>
    <row r="192" spans="1:9" ht="135.75" customHeight="1" x14ac:dyDescent="0.25">
      <c r="A192" s="7">
        <v>191</v>
      </c>
      <c r="B192" s="7" t="s">
        <v>39</v>
      </c>
      <c r="C192" s="7">
        <v>2020</v>
      </c>
      <c r="D192" s="8" t="s">
        <v>433</v>
      </c>
      <c r="E192" s="9" t="s">
        <v>37</v>
      </c>
      <c r="F192" s="8" t="s">
        <v>63</v>
      </c>
      <c r="G192" s="10" t="s">
        <v>16</v>
      </c>
      <c r="H192" s="11"/>
      <c r="I192" s="11"/>
    </row>
    <row r="193" spans="1:9" ht="225" customHeight="1" x14ac:dyDescent="0.25">
      <c r="A193" s="7">
        <v>192</v>
      </c>
      <c r="B193" s="7" t="s">
        <v>389</v>
      </c>
      <c r="C193" s="7">
        <v>2024</v>
      </c>
      <c r="D193" s="8" t="s">
        <v>434</v>
      </c>
      <c r="E193" s="9" t="s">
        <v>257</v>
      </c>
      <c r="F193" s="8" t="s">
        <v>258</v>
      </c>
      <c r="G193" s="10" t="s">
        <v>16</v>
      </c>
      <c r="H193" s="11"/>
      <c r="I193" s="11" t="s">
        <v>435</v>
      </c>
    </row>
    <row r="194" spans="1:9" ht="45.75" customHeight="1" x14ac:dyDescent="0.25">
      <c r="A194" s="7">
        <v>193</v>
      </c>
      <c r="B194" s="7" t="s">
        <v>72</v>
      </c>
      <c r="C194" s="7">
        <v>2012</v>
      </c>
      <c r="D194" s="8" t="s">
        <v>436</v>
      </c>
      <c r="E194" s="9" t="s">
        <v>37</v>
      </c>
      <c r="F194" s="8" t="s">
        <v>63</v>
      </c>
      <c r="G194" s="10" t="s">
        <v>16</v>
      </c>
      <c r="H194" s="11"/>
      <c r="I194" s="11"/>
    </row>
    <row r="195" spans="1:9" ht="57" customHeight="1" x14ac:dyDescent="0.25">
      <c r="A195" s="7">
        <v>194</v>
      </c>
      <c r="B195" s="7" t="s">
        <v>112</v>
      </c>
      <c r="C195" s="7">
        <v>2011</v>
      </c>
      <c r="D195" s="8" t="s">
        <v>437</v>
      </c>
      <c r="E195" s="9" t="s">
        <v>257</v>
      </c>
      <c r="F195" s="8" t="s">
        <v>258</v>
      </c>
      <c r="G195" s="10" t="s">
        <v>18</v>
      </c>
      <c r="H195" s="11" t="s">
        <v>31</v>
      </c>
      <c r="I195" s="11" t="s">
        <v>438</v>
      </c>
    </row>
    <row r="196" spans="1:9" ht="34.5" customHeight="1" x14ac:dyDescent="0.25">
      <c r="A196" s="7">
        <v>195</v>
      </c>
      <c r="B196" s="7" t="s">
        <v>65</v>
      </c>
      <c r="C196" s="7">
        <v>2016</v>
      </c>
      <c r="D196" s="8" t="s">
        <v>439</v>
      </c>
      <c r="E196" s="9" t="s">
        <v>134</v>
      </c>
      <c r="F196" s="8" t="s">
        <v>135</v>
      </c>
      <c r="G196" s="10" t="s">
        <v>16</v>
      </c>
      <c r="H196" s="11"/>
      <c r="I196" s="11"/>
    </row>
    <row r="197" spans="1:9" ht="34.5" customHeight="1" x14ac:dyDescent="0.25">
      <c r="A197" s="7">
        <v>196</v>
      </c>
      <c r="B197" s="7" t="s">
        <v>39</v>
      </c>
      <c r="C197" s="7">
        <v>2018</v>
      </c>
      <c r="D197" s="8" t="s">
        <v>440</v>
      </c>
      <c r="E197" s="9" t="s">
        <v>41</v>
      </c>
      <c r="F197" s="8" t="s">
        <v>42</v>
      </c>
      <c r="G197" s="10" t="s">
        <v>16</v>
      </c>
      <c r="H197" s="11"/>
      <c r="I197" s="11"/>
    </row>
    <row r="198" spans="1:9" ht="57" customHeight="1" x14ac:dyDescent="0.25">
      <c r="A198" s="7">
        <v>197</v>
      </c>
      <c r="B198" s="7" t="s">
        <v>112</v>
      </c>
      <c r="C198" s="7">
        <v>2012</v>
      </c>
      <c r="D198" s="8" t="s">
        <v>441</v>
      </c>
      <c r="E198" s="9" t="s">
        <v>442</v>
      </c>
      <c r="F198" s="8" t="s">
        <v>443</v>
      </c>
      <c r="G198" s="10" t="s">
        <v>16</v>
      </c>
      <c r="H198" s="11"/>
      <c r="I198" s="11"/>
    </row>
    <row r="199" spans="1:9" ht="34.5" customHeight="1" x14ac:dyDescent="0.25">
      <c r="A199" s="7">
        <v>198</v>
      </c>
      <c r="B199" s="7" t="s">
        <v>112</v>
      </c>
      <c r="C199" s="7">
        <v>2018</v>
      </c>
      <c r="D199" s="8" t="s">
        <v>444</v>
      </c>
      <c r="E199" s="9" t="s">
        <v>60</v>
      </c>
      <c r="F199" s="8" t="s">
        <v>61</v>
      </c>
      <c r="G199" s="10" t="s">
        <v>16</v>
      </c>
      <c r="H199" s="11"/>
      <c r="I199" s="11"/>
    </row>
    <row r="200" spans="1:9" ht="79.5" customHeight="1" x14ac:dyDescent="0.25">
      <c r="A200" s="7">
        <v>199</v>
      </c>
      <c r="B200" s="7" t="s">
        <v>51</v>
      </c>
      <c r="C200" s="7">
        <v>2019</v>
      </c>
      <c r="D200" s="8" t="s">
        <v>445</v>
      </c>
      <c r="E200" s="9" t="s">
        <v>401</v>
      </c>
      <c r="F200" s="8" t="s">
        <v>402</v>
      </c>
      <c r="G200" s="10" t="s">
        <v>18</v>
      </c>
      <c r="H200" s="11" t="s">
        <v>35</v>
      </c>
      <c r="I200" s="11" t="s">
        <v>446</v>
      </c>
    </row>
    <row r="201" spans="1:9" ht="90.75" customHeight="1" x14ac:dyDescent="0.25">
      <c r="A201" s="7">
        <v>200</v>
      </c>
      <c r="B201" s="7" t="s">
        <v>51</v>
      </c>
      <c r="C201" s="7">
        <v>2011</v>
      </c>
      <c r="D201" s="8" t="s">
        <v>447</v>
      </c>
      <c r="E201" s="9" t="s">
        <v>134</v>
      </c>
      <c r="F201" s="8" t="s">
        <v>135</v>
      </c>
      <c r="G201" s="10" t="s">
        <v>17</v>
      </c>
      <c r="H201" s="11" t="s">
        <v>37</v>
      </c>
      <c r="I201" s="11" t="s">
        <v>448</v>
      </c>
    </row>
  </sheetData>
  <dataValidations count="1">
    <dataValidation type="list" allowBlank="1" sqref="G2:G201" xr:uid="{00000000-0002-0000-0100-000000000000}">
      <formula1>"Correct,Partly,Wrong"</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100-000001000000}">
          <x14:formula1>
            <xm:f>Lists!$A$1:$A$69</xm:f>
          </x14:formula1>
          <x14:formula2>
            <xm:f>0</xm:f>
          </x14:formula2>
          <xm:sqref>H2:H201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9"/>
  <sheetViews>
    <sheetView zoomScaleNormal="100" workbookViewId="0"/>
  </sheetViews>
  <sheetFormatPr defaultColWidth="8.7109375" defaultRowHeight="15" x14ac:dyDescent="0.25"/>
  <sheetData>
    <row r="1" spans="1:1" ht="15" customHeight="1" x14ac:dyDescent="0.25">
      <c r="A1" s="4" t="s">
        <v>167</v>
      </c>
    </row>
    <row r="2" spans="1:1" ht="15" customHeight="1" x14ac:dyDescent="0.25">
      <c r="A2" s="4" t="s">
        <v>149</v>
      </c>
    </row>
    <row r="3" spans="1:1" ht="15" customHeight="1" x14ac:dyDescent="0.25">
      <c r="A3" s="4" t="s">
        <v>449</v>
      </c>
    </row>
    <row r="4" spans="1:1" ht="15" customHeight="1" x14ac:dyDescent="0.25">
      <c r="A4" s="4" t="s">
        <v>191</v>
      </c>
    </row>
    <row r="5" spans="1:1" ht="15" customHeight="1" x14ac:dyDescent="0.25">
      <c r="A5" s="4" t="s">
        <v>29</v>
      </c>
    </row>
    <row r="6" spans="1:1" ht="15" customHeight="1" x14ac:dyDescent="0.25">
      <c r="A6" s="4" t="s">
        <v>450</v>
      </c>
    </row>
    <row r="7" spans="1:1" ht="15" customHeight="1" x14ac:dyDescent="0.25">
      <c r="A7" s="4" t="s">
        <v>53</v>
      </c>
    </row>
    <row r="8" spans="1:1" ht="15" customHeight="1" x14ac:dyDescent="0.25">
      <c r="A8" s="4" t="s">
        <v>195</v>
      </c>
    </row>
    <row r="9" spans="1:1" ht="15" customHeight="1" x14ac:dyDescent="0.25">
      <c r="A9" s="4" t="s">
        <v>90</v>
      </c>
    </row>
    <row r="10" spans="1:1" ht="15" customHeight="1" x14ac:dyDescent="0.25">
      <c r="A10" s="4" t="s">
        <v>159</v>
      </c>
    </row>
    <row r="11" spans="1:1" ht="15" customHeight="1" x14ac:dyDescent="0.25">
      <c r="A11" s="4" t="s">
        <v>451</v>
      </c>
    </row>
    <row r="12" spans="1:1" ht="15" customHeight="1" x14ac:dyDescent="0.25">
      <c r="A12" s="4" t="s">
        <v>60</v>
      </c>
    </row>
    <row r="13" spans="1:1" ht="15" customHeight="1" x14ac:dyDescent="0.25">
      <c r="A13" s="4" t="s">
        <v>452</v>
      </c>
    </row>
    <row r="14" spans="1:1" ht="15" customHeight="1" x14ac:dyDescent="0.25">
      <c r="A14" s="4" t="s">
        <v>119</v>
      </c>
    </row>
    <row r="15" spans="1:1" ht="15" customHeight="1" x14ac:dyDescent="0.25">
      <c r="A15" s="4" t="s">
        <v>453</v>
      </c>
    </row>
    <row r="16" spans="1:1" ht="15" customHeight="1" x14ac:dyDescent="0.25">
      <c r="A16" s="4" t="s">
        <v>239</v>
      </c>
    </row>
    <row r="17" spans="1:1" ht="15" customHeight="1" x14ac:dyDescent="0.25">
      <c r="A17" s="4" t="s">
        <v>93</v>
      </c>
    </row>
    <row r="18" spans="1:1" ht="15" customHeight="1" x14ac:dyDescent="0.25">
      <c r="A18" s="4" t="s">
        <v>223</v>
      </c>
    </row>
    <row r="19" spans="1:1" ht="15" customHeight="1" x14ac:dyDescent="0.25">
      <c r="A19" s="4" t="s">
        <v>454</v>
      </c>
    </row>
    <row r="20" spans="1:1" ht="15" customHeight="1" x14ac:dyDescent="0.25">
      <c r="A20" s="4" t="s">
        <v>45</v>
      </c>
    </row>
    <row r="21" spans="1:1" ht="15" customHeight="1" x14ac:dyDescent="0.25">
      <c r="A21" s="4" t="s">
        <v>455</v>
      </c>
    </row>
    <row r="22" spans="1:1" ht="15" customHeight="1" x14ac:dyDescent="0.25">
      <c r="A22" s="4" t="s">
        <v>163</v>
      </c>
    </row>
    <row r="23" spans="1:1" ht="15" customHeight="1" x14ac:dyDescent="0.25">
      <c r="A23" s="4" t="s">
        <v>456</v>
      </c>
    </row>
    <row r="24" spans="1:1" ht="15" customHeight="1" x14ac:dyDescent="0.25">
      <c r="A24" s="4" t="s">
        <v>457</v>
      </c>
    </row>
    <row r="25" spans="1:1" ht="15" customHeight="1" x14ac:dyDescent="0.25">
      <c r="A25" s="4" t="s">
        <v>442</v>
      </c>
    </row>
    <row r="26" spans="1:1" ht="15" customHeight="1" x14ac:dyDescent="0.25">
      <c r="A26" s="4" t="s">
        <v>458</v>
      </c>
    </row>
    <row r="27" spans="1:1" ht="15" customHeight="1" x14ac:dyDescent="0.25">
      <c r="A27" s="4" t="s">
        <v>271</v>
      </c>
    </row>
    <row r="28" spans="1:1" ht="15" customHeight="1" x14ac:dyDescent="0.25">
      <c r="A28" s="4" t="s">
        <v>134</v>
      </c>
    </row>
    <row r="29" spans="1:1" ht="15" customHeight="1" x14ac:dyDescent="0.25">
      <c r="A29" s="4" t="s">
        <v>382</v>
      </c>
    </row>
    <row r="30" spans="1:1" ht="15" customHeight="1" x14ac:dyDescent="0.25">
      <c r="A30" s="4" t="s">
        <v>155</v>
      </c>
    </row>
    <row r="31" spans="1:1" ht="15" customHeight="1" x14ac:dyDescent="0.25">
      <c r="A31" s="4" t="s">
        <v>110</v>
      </c>
    </row>
    <row r="32" spans="1:1" ht="15" customHeight="1" x14ac:dyDescent="0.25">
      <c r="A32" s="4" t="s">
        <v>257</v>
      </c>
    </row>
    <row r="33" spans="1:1" ht="15" customHeight="1" x14ac:dyDescent="0.25">
      <c r="A33" s="4" t="s">
        <v>459</v>
      </c>
    </row>
    <row r="34" spans="1:1" ht="15" customHeight="1" x14ac:dyDescent="0.25">
      <c r="A34" s="4" t="s">
        <v>460</v>
      </c>
    </row>
    <row r="35" spans="1:1" ht="15" customHeight="1" x14ac:dyDescent="0.25">
      <c r="A35" s="4" t="s">
        <v>47</v>
      </c>
    </row>
    <row r="36" spans="1:1" ht="15" customHeight="1" x14ac:dyDescent="0.25">
      <c r="A36" s="4" t="s">
        <v>142</v>
      </c>
    </row>
    <row r="37" spans="1:1" ht="15" customHeight="1" x14ac:dyDescent="0.25">
      <c r="A37" s="4" t="s">
        <v>127</v>
      </c>
    </row>
    <row r="38" spans="1:1" ht="15" customHeight="1" x14ac:dyDescent="0.25">
      <c r="A38" s="4" t="s">
        <v>269</v>
      </c>
    </row>
    <row r="39" spans="1:1" ht="15" customHeight="1" x14ac:dyDescent="0.25">
      <c r="A39" s="4" t="s">
        <v>409</v>
      </c>
    </row>
    <row r="40" spans="1:1" ht="15" customHeight="1" x14ac:dyDescent="0.25">
      <c r="A40" s="4" t="s">
        <v>57</v>
      </c>
    </row>
    <row r="41" spans="1:1" ht="15" customHeight="1" x14ac:dyDescent="0.25">
      <c r="A41" s="4" t="s">
        <v>81</v>
      </c>
    </row>
    <row r="42" spans="1:1" ht="15" customHeight="1" x14ac:dyDescent="0.25">
      <c r="A42" s="4" t="s">
        <v>461</v>
      </c>
    </row>
    <row r="43" spans="1:1" ht="15" customHeight="1" x14ac:dyDescent="0.25">
      <c r="A43" s="4" t="s">
        <v>401</v>
      </c>
    </row>
    <row r="44" spans="1:1" ht="15" customHeight="1" x14ac:dyDescent="0.25">
      <c r="A44" s="4" t="s">
        <v>186</v>
      </c>
    </row>
    <row r="45" spans="1:1" ht="15" customHeight="1" x14ac:dyDescent="0.25">
      <c r="A45" s="4" t="s">
        <v>86</v>
      </c>
    </row>
    <row r="46" spans="1:1" ht="15" customHeight="1" x14ac:dyDescent="0.25">
      <c r="A46" s="4" t="s">
        <v>100</v>
      </c>
    </row>
    <row r="47" spans="1:1" ht="15" customHeight="1" x14ac:dyDescent="0.25">
      <c r="A47" s="4" t="s">
        <v>114</v>
      </c>
    </row>
    <row r="48" spans="1:1" ht="15" customHeight="1" x14ac:dyDescent="0.25">
      <c r="A48" s="4" t="s">
        <v>328</v>
      </c>
    </row>
    <row r="49" spans="1:1" ht="15" customHeight="1" x14ac:dyDescent="0.25">
      <c r="A49" s="4" t="s">
        <v>70</v>
      </c>
    </row>
    <row r="50" spans="1:1" ht="15" customHeight="1" x14ac:dyDescent="0.25">
      <c r="A50" s="4" t="s">
        <v>83</v>
      </c>
    </row>
    <row r="51" spans="1:1" ht="15" customHeight="1" x14ac:dyDescent="0.25">
      <c r="A51" s="4" t="s">
        <v>215</v>
      </c>
    </row>
    <row r="52" spans="1:1" ht="15" customHeight="1" x14ac:dyDescent="0.25">
      <c r="A52" s="4" t="s">
        <v>116</v>
      </c>
    </row>
    <row r="53" spans="1:1" ht="15" customHeight="1" x14ac:dyDescent="0.25">
      <c r="A53" s="4" t="s">
        <v>137</v>
      </c>
    </row>
    <row r="54" spans="1:1" ht="15" customHeight="1" x14ac:dyDescent="0.25">
      <c r="A54" s="4" t="s">
        <v>122</v>
      </c>
    </row>
    <row r="55" spans="1:1" ht="15" customHeight="1" x14ac:dyDescent="0.25">
      <c r="A55" s="4" t="s">
        <v>299</v>
      </c>
    </row>
    <row r="56" spans="1:1" ht="15" customHeight="1" x14ac:dyDescent="0.25">
      <c r="A56" s="4" t="s">
        <v>462</v>
      </c>
    </row>
    <row r="57" spans="1:1" ht="15" customHeight="1" x14ac:dyDescent="0.25">
      <c r="A57" s="4" t="s">
        <v>463</v>
      </c>
    </row>
    <row r="58" spans="1:1" ht="15" customHeight="1" x14ac:dyDescent="0.25">
      <c r="A58" s="4" t="s">
        <v>203</v>
      </c>
    </row>
    <row r="59" spans="1:1" ht="15" customHeight="1" x14ac:dyDescent="0.25">
      <c r="A59" s="4" t="s">
        <v>336</v>
      </c>
    </row>
    <row r="60" spans="1:1" ht="15" customHeight="1" x14ac:dyDescent="0.25">
      <c r="A60" s="4" t="s">
        <v>106</v>
      </c>
    </row>
    <row r="61" spans="1:1" ht="15" customHeight="1" x14ac:dyDescent="0.25">
      <c r="A61" s="4" t="s">
        <v>37</v>
      </c>
    </row>
    <row r="62" spans="1:1" ht="15" customHeight="1" x14ac:dyDescent="0.25">
      <c r="A62" s="4" t="s">
        <v>35</v>
      </c>
    </row>
    <row r="63" spans="1:1" ht="15" customHeight="1" x14ac:dyDescent="0.25">
      <c r="A63" s="4" t="s">
        <v>309</v>
      </c>
    </row>
    <row r="64" spans="1:1" ht="15" customHeight="1" x14ac:dyDescent="0.25">
      <c r="A64" s="4" t="s">
        <v>74</v>
      </c>
    </row>
    <row r="65" spans="1:1" ht="15" customHeight="1" x14ac:dyDescent="0.25">
      <c r="A65" s="4" t="s">
        <v>41</v>
      </c>
    </row>
    <row r="66" spans="1:1" ht="15" customHeight="1" x14ac:dyDescent="0.25">
      <c r="A66" s="4" t="s">
        <v>464</v>
      </c>
    </row>
    <row r="67" spans="1:1" ht="15" customHeight="1" x14ac:dyDescent="0.25">
      <c r="A67" s="4" t="s">
        <v>278</v>
      </c>
    </row>
    <row r="68" spans="1:1" ht="15" customHeight="1" x14ac:dyDescent="0.25">
      <c r="A68" s="4" t="s">
        <v>264</v>
      </c>
    </row>
    <row r="69" spans="1:1" ht="15" customHeight="1" x14ac:dyDescent="0.25">
      <c r="A69" s="4" t="s">
        <v>31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Review</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Advantage ROG</cp:lastModifiedBy>
  <cp:revision>0</cp:revision>
  <dcterms:created xsi:type="dcterms:W3CDTF">2026-10-19T10:13:24Z</dcterms:created>
  <dcterms:modified xsi:type="dcterms:W3CDTF">2026-10-19T10:36:36Z</dcterms:modified>
  <dc:language>en-US</dc:language>
</cp:coreProperties>
</file>